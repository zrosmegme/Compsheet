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\\Client\H$\Documents\"/>
    </mc:Choice>
  </mc:AlternateContent>
  <xr:revisionPtr revIDLastSave="0" documentId="13_ncr:1_{8C859691-DB34-443F-944F-987E602DA154}" xr6:coauthVersionLast="47" xr6:coauthVersionMax="47" xr10:uidLastSave="{00000000-0000-0000-0000-000000000000}"/>
  <bookViews>
    <workbookView xWindow="13110" yWindow="2340" windowWidth="38055" windowHeight="15540" activeTab="2" autoFilterDateGrouping="0" xr2:uid="{00000000-000D-0000-FFFF-FFFF00000000}"/>
  </bookViews>
  <sheets>
    <sheet name="Coverage (Latest Price)" sheetId="3" r:id="rId1"/>
    <sheet name="Metrics" sheetId="5" r:id="rId2"/>
    <sheet name="Data" sheetId="1" r:id="rId3"/>
    <sheet name="Search Criteria" sheetId="2" r:id="rId4"/>
    <sheet name="Sheet1" sheetId="4" r:id="rId5"/>
  </sheets>
  <externalReferences>
    <externalReference r:id="rId6"/>
  </externalReferences>
  <definedNames>
    <definedName name="_xlnm._FilterDatabase" localSheetId="0" hidden="1">'Coverage (Latest Price)'!$A$6:$AN$6</definedName>
    <definedName name="_xlnm._FilterDatabase" localSheetId="2" hidden="1">Data!$A$2:$AS$2</definedName>
    <definedName name="bb_NTRFODM0MTI0NEFENDE2MT" hidden="1">Data!$A$3:$A$8</definedName>
    <definedName name="bb_OTRBQUU2QkM4Qzk2NDc0NE" hidden="1">Data!$A$119:$A$136</definedName>
    <definedName name="bb_RURERUVGQ0EzQUY4NDYxRj" hidden="1">Data!$A$47:$A$50</definedName>
    <definedName name="CIQWBGuid" hidden="1">"f89c17d9-d62c-4110-aadc-210c783db8ad"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QUIRED_BY_REPORTING_BANK_FDIC" hidden="1">"c6535"</definedName>
    <definedName name="IQ_ADDIN" hidden="1">"AUTO"</definedName>
    <definedName name="IQ_ADDITIONAL_NON_INT_INC_FDIC" hidden="1">"c6574"</definedName>
    <definedName name="IQ_ADJUSTABLE_RATE_LOANS_FDIC" hidden="1">"c6375"</definedName>
    <definedName name="IQ_AE_BR" hidden="1">"c10"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MENDED_BALANCE_PREVIOUS_YR_FDIC" hidden="1">"c6499"</definedName>
    <definedName name="IQ_AMORT_EXPENSE_FDIC" hidden="1">"c6677"</definedName>
    <definedName name="IQ_AMORTIZED_COST_FDIC" hidden="1">"c6426"</definedName>
    <definedName name="IQ_AP_BR" hidden="1">"c34"</definedName>
    <definedName name="IQ_AR_BR" hidden="1">"c41"</definedName>
    <definedName name="IQ_ASSET_BACKED_FDIC" hidden="1">"c6301"</definedName>
    <definedName name="IQ_ASSET_WRITEDOWN_BR" hidden="1">"c50"</definedName>
    <definedName name="IQ_ASSET_WRITEDOWN_CF_BR" hidden="1">"c53"</definedName>
    <definedName name="IQ_ASSETS_HELD_FDIC" hidden="1">"c6305"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UNUSED_UNUSED_UNUSED" hidden="1">"c6813"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UNUSED_UNUSED_UNUSED" hidden="1">"c6815"</definedName>
    <definedName name="IQ_BALANCE_SERV_YOY_FC_UNUSED_UNUSED_UNUSED" hidden="1">"c8135"</definedName>
    <definedName name="IQ_BALANCE_SERV_YOY_UNUSED_UNUSED_UNUSED" hidden="1">"c7255"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UNUSED_UNUSED_UNUSED" hidden="1">"c6817"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CAPEX_BR" hidden="1">"c111"</definedName>
    <definedName name="IQ_CASH_DIVIDENDS_NET_INCOME_FDIC" hidden="1">"c6738"</definedName>
    <definedName name="IQ_CASH_IN_PROCESS_FDIC" hidden="1">"c6386"</definedName>
    <definedName name="IQ_CCE_FDIC" hidden="1">"c6296"</definedName>
    <definedName name="IQ_CHANGE_AP_BR" hidden="1">"c135"</definedName>
    <definedName name="IQ_CHANGE_AR_BR" hidden="1">"c142"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UNUSED_UNUSED_UNUSED" hidden="1">"c6960"</definedName>
    <definedName name="IQ_CHANGE_INVENT_REAL_YOY_FC_UNUSED_UNUSED_UNUSED" hidden="1">"c8280"</definedName>
    <definedName name="IQ_CHANGE_INVENT_REAL_YOY_UNUSED_UNUSED_UNUSED" hidden="1">"c7400"</definedName>
    <definedName name="IQ_CHANGE_OTHER_NET_OPER_ASSETS_BR" hidden="1">"c3595"</definedName>
    <definedName name="IQ_CHANGE_OTHER_WORK_CAP_BR" hidden="1">"c154"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MO_FDIC" hidden="1">"c6406"</definedName>
    <definedName name="IQ_COLLECTION_DOMESTIC_FDIC" hidden="1">"c6387"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_APIC_BR" hidden="1">"c185"</definedName>
    <definedName name="IQ_COMMON_FDIC" hidden="1">"c6350"</definedName>
    <definedName name="IQ_COMMON_ISSUED_BR" hidden="1">"c199"</definedName>
    <definedName name="IQ_COMMON_REP_BR" hidden="1">"c208"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TRACTS_OTHER_COMMODITIES_EQUITIES._FDIC" hidden="1">"c6522"</definedName>
    <definedName name="IQ_CONTRACTS_OTHER_COMMODITIES_EQUITIES_FDIC" hidden="1">"c6522"</definedName>
    <definedName name="IQ_CONV_RATE" hidden="1">"c2192"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ST_OF_FUNDING_ASSETS_FDIC" hidden="1">"c6725"</definedName>
    <definedName name="IQ_CREDIT_CARD_CHARGE_OFFS_FDIC" hidden="1">"c6652"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PROVISION_NET_CHARGE_OFFS_FDIC" hidden="1">"c6734"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OP_FC_UNUSED_UNUSED_UNUSED" hidden="1">"c7947"</definedName>
    <definedName name="IQ_CURR_ACCT_BALANCE_POP_UNUSED_UNUSED_UNUSED" hidden="1">"c7067"</definedName>
    <definedName name="IQ_CURR_ACCT_BALANCE_UNUSED_UNUSED_UNUSED" hidden="1">"c6847"</definedName>
    <definedName name="IQ_CURR_ACCT_BALANCE_YOY_FC_UNUSED_UNUSED_UNUSED" hidden="1">"c8167"</definedName>
    <definedName name="IQ_CURR_ACCT_BALANCE_YOY_UNUSED_UNUSED_UNUSED" hidden="1">"c7287"</definedName>
    <definedName name="IQ_CURRENCY_COIN_DOMESTIC_FDIC" hidden="1">"c6388"</definedName>
    <definedName name="IQ_CURRENCY_GAIN_BR" hidden="1">"c236"</definedName>
    <definedName name="IQ_CURRENT_PORT_DEBT_BR" hidden="1">"c1567"</definedName>
    <definedName name="IQ_DA_BR" hidden="1">"c248"</definedName>
    <definedName name="IQ_DA_CF_BR" hidden="1">"c251"</definedName>
    <definedName name="IQ_DA_SUPPL_BR" hidden="1">"c260"</definedName>
    <definedName name="IQ_DA_SUPPL_CF_BR" hidden="1">"c263"</definedName>
    <definedName name="IQ_DEF_AMORT_BR" hidden="1">"c278"</definedName>
    <definedName name="IQ_DEF_CHARGES_BR" hidden="1">"c288"</definedName>
    <definedName name="IQ_DEF_CHARGES_LT_BR" hidden="1">"c294"</definedName>
    <definedName name="IQ_DEF_TAX_ASSET_LT_BR" hidden="1">"c304"</definedName>
    <definedName name="IQ_DEF_TAX_LIAB_LT_BR" hidden="1">"c315"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HELD_DOMESTIC_FDIC" hidden="1">"c6340"</definedName>
    <definedName name="IQ_DEPOSITS_HELD_FOREIGN_FDIC" hidden="1">"c6341"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RIVATIVES_FDIC" hidden="1">"c6523"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TM" hidden="1">700000</definedName>
    <definedName name="IQ_EARNING_ASSETS_FDIC" hidden="1">"c6360"</definedName>
    <definedName name="IQ_EARNING_ASSETS_YIELD_FDIC" hidden="1">"c6724"</definedName>
    <definedName name="IQ_EARNINGS_COVERAGE_NET_CHARGE_OFFS_FDIC" hidden="1">"c6735"</definedName>
    <definedName name="IQ_EBT_BR" hidden="1">"c378"</definedName>
    <definedName name="IQ_EBT_EXCL_BR" hidden="1">"c381"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648_UNUSED_UNUSED_UNUSED" hidden="1">"c7648"</definedName>
    <definedName name="IQ_ECO_METRIC_7705_UNUSED_UNUSED_UNUSED" hidden="1">"c7705"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68_UNUSED_UNUSED_UNUSED" hidden="1">"c7868"</definedName>
    <definedName name="IQ_ECO_METRIC_7925_UNUSED_UNUSED_UNUSED" hidden="1">"c7925"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88_UNUSED_UNUSED_UNUSED" hidden="1">"c8088"</definedName>
    <definedName name="IQ_ECO_METRIC_8145_UNUSED_UNUSED_UNUSED" hidden="1">"c8145"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308_UNUSED_UNUSED_UNUSED" hidden="1">"c8308"</definedName>
    <definedName name="IQ_ECO_METRIC_8436_UNUSED_UNUSED_UNUSED" hidden="1">"c8436"</definedName>
    <definedName name="IQ_ECO_METRIC_8437_UNUSED_UNUSED_UNUSED" hidden="1">"c8437"</definedName>
    <definedName name="IQ_ECO_METRIC_8528_UNUSED_UNUSED_UNUSED" hidden="1">"c8528"</definedName>
    <definedName name="IQ_EFFICIENCY_RATIO_FDIC" hidden="1">"c6736"</definedName>
    <definedName name="IQ_EQUITY_CAPITAL_ASSETS_FDIC" hidden="1">"c6744"</definedName>
    <definedName name="IQ_EQUITY_FDIC" hidden="1">"c6353"</definedName>
    <definedName name="IQ_EQUITY_SECURITIES_FDIC" hidden="1">"c6304"</definedName>
    <definedName name="IQ_EQUITY_SECURITY_EXPOSURES_FDIC" hidden="1">"c6664"</definedName>
    <definedName name="IQ_ESTIMATED_ASSESSABLE_DEPOSITS_FDIC" hidden="1">"c6490"</definedName>
    <definedName name="IQ_ESTIMATED_INSURED_DEPOSITS_FDIC" hidden="1">"c6491"</definedName>
    <definedName name="IQ_EXPORTS_APR_FC_UNUSED_UNUSED_UNUSED" hidden="1">"c8401"</definedName>
    <definedName name="IQ_EXPORTS_APR_UNUSED_UNUSED_UNUSED" hidden="1">"c7521"</definedName>
    <definedName name="IQ_EXPORTS_FC_UNUSED_UNUSED_UNUSED" hidden="1">"c7741"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_FC_UNUSED_UNUSED_UNUSED" hidden="1">"c8292"</definedName>
    <definedName name="IQ_EXPORTS_GOODS_REAL_SAAR_YOY_UNUSED_UNUSED_UNUSED" hidden="1">"c7412"</definedName>
    <definedName name="IQ_EXPORTS_POP_FC_UNUSED_UNUSED_UNUSED" hidden="1">"c7961"</definedName>
    <definedName name="IQ_EXPORTS_POP_UNUSED_UNUSED_UNUSED" hidden="1">"c7081"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_FC_UNUSED_UNUSED_UNUSED" hidden="1">"c8296"</definedName>
    <definedName name="IQ_EXPORTS_SERVICES_REAL_SAAR_YOY_UNUSED_UNUSED_UNUSED" hidden="1">"c7416"</definedName>
    <definedName name="IQ_EXPORTS_UNUSED_UNUSED_UNUSED" hidden="1">"c6861"</definedName>
    <definedName name="IQ_EXPORTS_YOY_FC_UNUSED_UNUSED_UNUSED" hidden="1">"c8181"</definedName>
    <definedName name="IQ_EXPORTS_YOY_UNUSED_UNUSED_UNUSED" hidden="1">"c7301"</definedName>
    <definedName name="IQ_EXTRA_ACC_ITEMS_BR" hidden="1">"c412"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ED_FUNDS_PURCHASED_FDIC" hidden="1">"c6343"</definedName>
    <definedName name="IQ_FED_FUNDS_SOLD_FDIC" hidden="1">"c6307"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_CIQ" hidden="1">"c4970"</definedName>
    <definedName name="IQ_FFO_HIGH_EST_CIQ" hidden="1">"c4977"</definedName>
    <definedName name="IQ_FFO_LOW_EST_CIQ" hidden="1">"c4978"</definedName>
    <definedName name="IQ_FFO_MEDIAN_EST_CIQ" hidden="1">"c4979"</definedName>
    <definedName name="IQ_FFO_NUM_EST_CIQ" hidden="1">"c4980"</definedName>
    <definedName name="IQ_FFO_STDDEV_EST_CIQ" hidden="1">"c4981"</definedName>
    <definedName name="IQ_FHLB_ADVANCES_FDIC" hidden="1">"c6366"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IVE_YEAR_FIXED_AND_FLOATING_RATE_FDIC" hidden="1">"c6422"</definedName>
    <definedName name="IQ_FIVE_YEAR_MORTGAGE_PASS_THROUGHS_FDIC" hidden="1">"c6414"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UNUSED_UNUSED_UNUSED" hidden="1">"c6978"</definedName>
    <definedName name="IQ_FIXED_INVEST_REAL_YOY_FC_UNUSED_UNUSED_UNUSED" hidden="1">"c8298"</definedName>
    <definedName name="IQ_FIXED_INVEST_REAL_YOY_UNUSED_UNUSED_UNUSED" hidden="1">"c7418"</definedName>
    <definedName name="IQ_FIXED_INVEST_UNUSED_UNUSED_UNUSED" hidden="1">"c6870"</definedName>
    <definedName name="IQ_FIXED_INVEST_YOY_FC_UNUSED_UNUSED_UNUSED" hidden="1">"c8190"</definedName>
    <definedName name="IQ_FIXED_INVEST_YOY_UNUSED_UNUSED_UNUSED" hidden="1">"c7310"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OSITS_NONTRANSACTION_ACCOUNTS_FDIC" hidden="1">"c6549"</definedName>
    <definedName name="IQ_FOREIGN_DEPOSITS_TRANSACTION_ACCOUNTS_FDIC" hidden="1">"c6541"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_CONTRACTS_FDIC" hidden="1">"c6517"</definedName>
    <definedName name="IQ_FX_CONTRACTS_SPOT_FDIC" hidden="1">"c6356"</definedName>
    <definedName name="IQ_GAIN_ASSETS_BR" hidden="1">"c454"</definedName>
    <definedName name="IQ_GAIN_ASSETS_CF_BR" hidden="1">"c457"</definedName>
    <definedName name="IQ_GAIN_ASSETS_REV_BR" hidden="1">"c474"</definedName>
    <definedName name="IQ_GAIN_INVEST_BR" hidden="1">"c1464"</definedName>
    <definedName name="IQ_GAIN_INVEST_CF_BR" hidden="1">"c482"</definedName>
    <definedName name="IQ_GAIN_INVEST_REV_BR" hidden="1">"c496"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W_AMORT_BR" hidden="1">"c532"</definedName>
    <definedName name="IQ_GW_INTAN_AMORT_BR" hidden="1">"c1470"</definedName>
    <definedName name="IQ_GW_INTAN_AMORT_CF_BR" hidden="1">"c1473"</definedName>
    <definedName name="IQ_HELD_MATURITY_FDIC" hidden="1">"c6408"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UNUSED_UNUSED_UNUSED" hidden="1">"c6889"</definedName>
    <definedName name="IQ_IMPORTS_GOODS_SERVICES_YOY_FC_UNUSED_UNUSED_UNUSED" hidden="1">"c8209"</definedName>
    <definedName name="IQ_IMPORTS_GOODS_SERVICES_YOY_UNUSED_UNUSED_UNUSED" hidden="1">"c7329"</definedName>
    <definedName name="IQ_INC_EQUITY_BR" hidden="1">"c550"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S_SETTLE_BR" hidden="1">"c572"</definedName>
    <definedName name="IQ_INSIDER_LOANS_FDIC" hidden="1">"c6365"</definedName>
    <definedName name="IQ_INSTITUTIONS_EARNINGS_GAINS_FDIC" hidden="1">"c6723"</definedName>
    <definedName name="IQ_INSURANCE_COMMISSION_FEES_FDIC" hidden="1">"c6670"</definedName>
    <definedName name="IQ_INSURANCE_UNDERWRITING_INCOME_FDIC" hidden="1">"c6671"</definedName>
    <definedName name="IQ_INT_DEMAND_NOTES_FDIC" hidden="1">"c6567"</definedName>
    <definedName name="IQ_INT_DOMESTIC_DEPOSITS_FDIC" hidden="1">"c6564"</definedName>
    <definedName name="IQ_INT_EXP_BR" hidden="1">"c586"</definedName>
    <definedName name="IQ_INT_EXP_TOTAL_FDIC" hidden="1">"c6569"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OREIGN_LOANS_FDIC" hidden="1">"c6556"</definedName>
    <definedName name="IQ_INT_INC_LEASE_RECEIVABLES_FDIC" hidden="1">"c6557"</definedName>
    <definedName name="IQ_INT_INC_OTHER_FDIC" hidden="1">"c6562"</definedName>
    <definedName name="IQ_INT_INC_SECURITIES_FDIC" hidden="1">"c6559"</definedName>
    <definedName name="IQ_INT_INC_TOTAL_FDIC" hidden="1">"c6563"</definedName>
    <definedName name="IQ_INT_INC_TRADING_ACCOUNTS_FDIC" hidden="1">"c6560"</definedName>
    <definedName name="IQ_INT_SUB_NOTES_FDIC" hidden="1">"c6568"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RATE_CONTRACTS_FDIC" hidden="1">"c6512"</definedName>
    <definedName name="IQ_INTEREST_RATE_EXPOSURES_FDIC" hidden="1">"c6662"</definedName>
    <definedName name="IQ_INVEST_LOANS_CF_BR" hidden="1">"c630"</definedName>
    <definedName name="IQ_INVEST_SECURITY_CF_BR" hidden="1">"c639"</definedName>
    <definedName name="IQ_INVESTMENT_BANKING_OTHER_FEES_FDIC" hidden="1">"c6666"</definedName>
    <definedName name="IQ_IRA_KEOGH_ACCOUNTS_FDIC" hidden="1">"c6496"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UED_GUARANTEED_US_FDIC" hidden="1">"c6404"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_BR" hidden="1">"c649"</definedName>
    <definedName name="IQ_LIFE_INSURANCE_ASSETS_FDIC" hidden="1">"c6372"</definedName>
    <definedName name="IQ_LOAN_COMMITMENTS_REVOLVING_FDIC" hidden="1">"c6524"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S_AND_LEASES_HELD_FDIC" hidden="1">"c6367"</definedName>
    <definedName name="IQ_LOANS_CF_BR" hidden="1">"c661"</definedName>
    <definedName name="IQ_LOANS_DEPOSITORY_INSTITUTIONS_FDIC" hidden="1">"c6382"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SS_ALLOWANCE_LOANS_FDIC" hidden="1">"c6739"</definedName>
    <definedName name="IQ_LT_DEBT_BR" hidden="1">"c676"</definedName>
    <definedName name="IQ_LT_DEBT_ISSUED_BR" hidden="1">"c683"</definedName>
    <definedName name="IQ_LT_DEBT_REPAID_BR" hidden="1">"c691"</definedName>
    <definedName name="IQ_LT_INVEST_BR" hidden="1">"c698"</definedName>
    <definedName name="IQ_LTMMONTH" hidden="1">120000</definedName>
    <definedName name="IQ_MATURITY_ONE_YEAR_LESS_FDIC" hidden="1">"c6425"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RGER_BR" hidden="1">"c715"</definedName>
    <definedName name="IQ_MERGER_RESTRUCTURE_BR" hidden="1">"c721"</definedName>
    <definedName name="IQ_MINORITY_INTEREST_BR" hidden="1">"c729"</definedName>
    <definedName name="IQ_MONEY_MARKET_DEPOSIT_ACCOUNTS_FDIC" hidden="1">"c6553"</definedName>
    <definedName name="IQ_MORTGAGE_BACKED_SECURITIES_FDIC" hidden="1">"c6402"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45518.4071412037</definedName>
    <definedName name="IQ_NAV_ACT_OR_EST" hidden="1">"c2225"</definedName>
    <definedName name="IQ_NET_CHARGE_OFFS_FDIC" hidden="1">"c6641"</definedName>
    <definedName name="IQ_NET_CHARGE_OFFS_LOANS_FDIC" hidden="1">"c6751"</definedName>
    <definedName name="IQ_NET_DEBT_ISSUED_BR" hidden="1">"c753"</definedName>
    <definedName name="IQ_NET_INCOME_FDIC" hidden="1">"c6587"</definedName>
    <definedName name="IQ_NET_INT_INC_BNK_FDIC" hidden="1">"c6570"</definedName>
    <definedName name="IQ_NET_INT_INC_BR" hidden="1">"c765"</definedName>
    <definedName name="IQ_NET_INTEREST_MARGIN_FDIC" hidden="1">"c6726"</definedName>
    <definedName name="IQ_NET_LOANS_LEASES_CORE_DEPOSITS_FDIC" hidden="1">"c6743"</definedName>
    <definedName name="IQ_NET_LOANS_LEASES_DEPOSITS_FDIC" hidden="1">"c6742"</definedName>
    <definedName name="IQ_NET_OPERATING_INCOME_ASSETS_FDIC" hidden="1">"c6729"</definedName>
    <definedName name="IQ_NET_SECURITIZATION_INCOME_FDIC" hidden="1">"c6669"</definedName>
    <definedName name="IQ_NET_SERVICING_FEES_FDIC" hidden="1">"c6668"</definedName>
    <definedName name="IQ_NON_INT_EXP_FDIC" hidden="1">"c6579"</definedName>
    <definedName name="IQ_NON_INT_INC_FDIC" hidden="1">"c6575"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UNUSED_UNUSED_UNUSED" hidden="1">"c6928"</definedName>
    <definedName name="IQ_NONRES_FIXED_INVEST_PRIV_YOY_FC_UNUSED_UNUSED_UNUSED" hidden="1">"c8248"</definedName>
    <definedName name="IQ_NONRES_FIXED_INVEST_PRIV_YOY_UNUSED_UNUSED_UNUSED" hidden="1">"c7368"</definedName>
    <definedName name="IQ_NONTRANSACTION_ACCOUNTS_FDIC" hidden="1">"c6552"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UMBER_DEPOSITS_LESS_THAN_100K_FDIC" hidden="1">"c6495"</definedName>
    <definedName name="IQ_NUMBER_DEPOSITS_MORE_THAN_100K_FDIC" hidden="1">"c6493"</definedName>
    <definedName name="IQ_OBLIGATIONS_OF_STATES_TOTAL_LOANS_FOREIGN_FDIC" hidden="1">"c6447"</definedName>
    <definedName name="IQ_OBLIGATIONS_STATES_FDIC" hidden="1">"c6431"</definedName>
    <definedName name="IQ_OPENED55" hidden="1">1</definedName>
    <definedName name="IQ_OPER_INC_BR" hidden="1">"c850"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MORT_BR" hidden="1">"c5566"</definedName>
    <definedName name="IQ_OTHER_ASSETS_BR" hidden="1">"c862"</definedName>
    <definedName name="IQ_OTHER_ASSETS_FDIC" hidden="1">"c6338"</definedName>
    <definedName name="IQ_OTHER_BORROWED_FUNDS_FDIC" hidden="1">"c6345"</definedName>
    <definedName name="IQ_OTHER_CA_SUPPL_BR" hidden="1">"c871"</definedName>
    <definedName name="IQ_OTHER_CL_SUPPL_BR" hidden="1">"c880"</definedName>
    <definedName name="IQ_OTHER_COMPREHENSIVE_INCOME_FDIC" hidden="1">"c6503"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QUITY_BR" hidden="1">"c888"</definedName>
    <definedName name="IQ_OTHER_FINANCE_ACT_BR" hidden="1">"c895"</definedName>
    <definedName name="IQ_OTHER_FINANCE_ACT_SUPPL_BR" hidden="1">"c901"</definedName>
    <definedName name="IQ_OTHER_INSURANCE_FEES_FDIC" hidden="1">"c6672"</definedName>
    <definedName name="IQ_OTHER_INTAN_BR" hidden="1">"c909"</definedName>
    <definedName name="IQ_OTHER_INTANGIBLE_FDIC" hidden="1">"c6337"</definedName>
    <definedName name="IQ_OTHER_INVEST_ACT_BR" hidden="1">"c918"</definedName>
    <definedName name="IQ_OTHER_INVEST_ACT_SUPPL_BR" hidden="1">"c924"</definedName>
    <definedName name="IQ_OTHER_LIAB_BR" hidden="1">"c932"</definedName>
    <definedName name="IQ_OTHER_LIAB_LT_BR" hidden="1">"c937"</definedName>
    <definedName name="IQ_OTHER_LIABILITIES_FDIC" hidden="1">"c6347"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T_ASSETS_BR" hidden="1">"c948"</definedName>
    <definedName name="IQ_OTHER_MINING_REVENUE_COAL" hidden="1">"c15931"</definedName>
    <definedName name="IQ_OTHER_NON_INT_EXP_FDIC" hidden="1">"c6578"</definedName>
    <definedName name="IQ_OTHER_NON_INT_EXPENSE_FDIC" hidden="1">"c6679"</definedName>
    <definedName name="IQ_OTHER_NON_INT_INC_FDIC" hidden="1">"c6676"</definedName>
    <definedName name="IQ_OTHER_NON_OPER_EXP_BR" hidden="1">"c957"</definedName>
    <definedName name="IQ_OTHER_NON_OPER_EXP_SUPPL_BR" hidden="1">"c962"</definedName>
    <definedName name="IQ_OTHER_OFF_BS_LIAB_FDIC" hidden="1">"c6533"</definedName>
    <definedName name="IQ_OTHER_OPER_ACT_BR" hidden="1">"c985"</definedName>
    <definedName name="IQ_OTHER_OPER_BR" hidden="1">"c990"</definedName>
    <definedName name="IQ_OTHER_OPER_SUPPL_BR" hidden="1">"c994"</definedName>
    <definedName name="IQ_OTHER_OPER_TOT_BR" hidden="1">"c1000"</definedName>
    <definedName name="IQ_OTHER_RE_OWNED_FDIC" hidden="1">"c6330"</definedName>
    <definedName name="IQ_OTHER_REV_BR" hidden="1">"c1011"</definedName>
    <definedName name="IQ_OTHER_REV_SUPPL_BR" hidden="1">"c1016"</definedName>
    <definedName name="IQ_OTHER_SAVINGS_DEPOSITS_FDIC" hidden="1">"c6554"</definedName>
    <definedName name="IQ_OTHER_TRANSACTIONS_FDIC" hidden="1">"c6504"</definedName>
    <definedName name="IQ_OTHER_UNUSED_COMMITMENTS_FDIC" hidden="1">"c6530"</definedName>
    <definedName name="IQ_OTHER_UNUSUAL_BR" hidden="1">"c1561"</definedName>
    <definedName name="IQ_OTHER_UNUSUAL_SUPPL_BR" hidden="1">"c1496"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C_WRITTEN" hidden="1">"c1027"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INSURED_FDIC" hidden="1">"c6374"</definedName>
    <definedName name="IQ_PERIODDATE_FDIC" hidden="1">"c13646"</definedName>
    <definedName name="IQ_PLEDGED_SECURITIES_FDIC" hidden="1">"c6401"</definedName>
    <definedName name="IQ_PRE_TAX_INCOME_FDIC" hidden="1">"c6581"</definedName>
    <definedName name="IQ_PREF_ISSUED_BR" hidden="1">"c1047"</definedName>
    <definedName name="IQ_PREF_OTHER_BR" hidden="1">"c1055"</definedName>
    <definedName name="IQ_PREF_REP_BR" hidden="1">"c1062"</definedName>
    <definedName name="IQ_PREFERRED_FDIC" hidden="1">"c6349"</definedName>
    <definedName name="IQ_PREMISES_EQUIPMENT_FDIC" hidden="1">"c6577"</definedName>
    <definedName name="IQ_PRETAX_RETURN_ASSETS_FDIC" hidden="1">"c6731"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LY_ISSUED_MORTGAGE_BACKED_SECURITIES_FDIC" hidden="1">"c6407"</definedName>
    <definedName name="IQ_PRIVATELY_ISSUED_MORTGAGE_PASS_THROUGHS_FDIC" hidden="1">"c6405"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QTD" hidden="1">750000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LATED_PLANS_FDIC" hidden="1">"c6320"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IDENTIAL_LOANS" hidden="1">"c1102"</definedName>
    <definedName name="IQ_RESTATEMENTS_NET_FDIC" hidden="1">"c6500"</definedName>
    <definedName name="IQ_RESTRUCTURE_BR" hidden="1">"c1106"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DEPOSITS_FDIC" hidden="1">"c6488"</definedName>
    <definedName name="IQ_RETAINED_EARNINGS_AVERAGE_EQUITY_FDIC" hidden="1">"c6733"</definedName>
    <definedName name="IQ_RETURN_ASSETS_BROK" hidden="1">"c1115"</definedName>
    <definedName name="IQ_RETURN_ASSETS_FDIC" hidden="1">"c6730"</definedName>
    <definedName name="IQ_RETURN_EQUITY_BROK" hidden="1">"c1120"</definedName>
    <definedName name="IQ_RETURN_EQUITY_FDIC" hidden="1">"c6732"</definedName>
    <definedName name="IQ_REVALUATION_GAINS_FDIC" hidden="1">"c6428"</definedName>
    <definedName name="IQ_REVALUATION_LOSSES_FDIC" hidden="1">"c6429"</definedName>
    <definedName name="IQ_RISK_WEIGHTED_ASSETS_FDIC" hidden="1">"c6370"</definedName>
    <definedName name="IQ_ROYALTY_REVENUE_COAL" hidden="1">"c15932"</definedName>
    <definedName name="IQ_SALARY_FDIC" hidden="1">"c6576"</definedName>
    <definedName name="IQ_SALE_CONVERSION_RETIREMENT_STOCK_FDIC" hidden="1">"c6661"</definedName>
    <definedName name="IQ_SALE_INTAN_CF_BR" hidden="1">"c1133"</definedName>
    <definedName name="IQ_SALE_PPE_CF_BR" hidden="1">"c1139"</definedName>
    <definedName name="IQ_SALE_REAL_ESTATE_CF_BR" hidden="1">"c1145"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RVICE_CHARGES_FDIC" hidden="1">"c6572"</definedName>
    <definedName name="IQ_SHAREOUTSTANDING" hidden="1">"c1347"</definedName>
    <definedName name="IQ_SPECIAL_DIV_CF_BR" hidden="1">"c1171"</definedName>
    <definedName name="IQ_ST_DEBT_BR" hidden="1">"c1178"</definedName>
    <definedName name="IQ_ST_DEBT_ISSUED_BR" hidden="1">"c1183"</definedName>
    <definedName name="IQ_ST_DEBT_REPAID_BR" hidden="1">"c1191"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UB_DEBT_FDIC" hidden="1">"c6346"</definedName>
    <definedName name="IQ_SURPLUS_FDIC" hidden="1">"c6351"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FDIC" hidden="1">"c6369"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AL_AR_BR" hidden="1">"c1231"</definedName>
    <definedName name="IQ_TOTAL_ASSETS_FDIC" hidden="1">"c6339"</definedName>
    <definedName name="IQ_TOTAL_CHARGE_OFFS_FDIC" hidden="1">"c6603"</definedName>
    <definedName name="IQ_TOTAL_DEBT_ISSUED_BR" hidden="1">"c1253"</definedName>
    <definedName name="IQ_TOTAL_DEBT_REPAID_BR" hidden="1">"c1260"</definedName>
    <definedName name="IQ_TOTAL_DEBT_SECURITIES_FDIC" hidden="1">"c6410"</definedName>
    <definedName name="IQ_TOTAL_DEPOSITS_FDIC" hidden="1">"c6342"</definedName>
    <definedName name="IQ_TOTAL_EMPLOYEES_FDIC" hidden="1">"c6355"</definedName>
    <definedName name="IQ_TOTAL_LIAB_BR" hidden="1">"c1278"</definedName>
    <definedName name="IQ_TOTAL_LIAB_EQUITY_FDIC" hidden="1">"c6354"</definedName>
    <definedName name="IQ_TOTAL_LIABILITIES_FDIC" hidden="1">"c6348"</definedName>
    <definedName name="IQ_TOTAL_OPER_EXP_BR" hidden="1">"c1284"</definedName>
    <definedName name="IQ_TOTAL_RECOVERIES_FDIC" hidden="1">"c6622"</definedName>
    <definedName name="IQ_TOTAL_REV_BNK_FDIC" hidden="1">"c6786"</definedName>
    <definedName name="IQ_TOTAL_REV_BR" hidden="1">"c1303"</definedName>
    <definedName name="IQ_TOTAL_RISK_BASED_CAPITAL_RATIO_FDIC" hidden="1">"c6747"</definedName>
    <definedName name="IQ_TOTAL_SECURITIES_FDIC" hidden="1">"c6306"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_BR" hidden="1">"c5517"</definedName>
    <definedName name="IQ_TRADING_ACCOUNT_GAINS_FEES_FDIC" hidden="1">"c6573"</definedName>
    <definedName name="IQ_TRADING_ASSETS_FDIC" hidden="1">"c6328"</definedName>
    <definedName name="IQ_TRADING_LIABILITIES_FDIC" hidden="1">"c6344"</definedName>
    <definedName name="IQ_TRANSACTION_ACCOUNTS_FDIC" hidden="1">"c6544"</definedName>
    <definedName name="IQ_TREASURY_OTHER_EQUITY_BR" hidden="1">"c1314"</definedName>
    <definedName name="IQ_TREASURY_STOCK_TRANSACTIONS_FDIC" hidden="1">"c6501"</definedName>
    <definedName name="IQ_TWELVE_MONTHS_FIXED_AND_FLOATING_FDIC" hidden="1">"c6420"</definedName>
    <definedName name="IQ_TWELVE_MONTHS_MORTGAGE_PASS_THROUGHS_FDIC" hidden="1">"c6412"</definedName>
    <definedName name="IQ_UNDIVIDED_PROFITS_FDIC" hidden="1">"c6352"</definedName>
    <definedName name="IQ_UNEARN_REV_CURRENT_BR" hidden="1">"c1324"</definedName>
    <definedName name="IQ_UNEARNED_INCOME_FDIC" hidden="1">"c6324"</definedName>
    <definedName name="IQ_UNEARNED_INCOME_FOREIGN_FDIC" hidden="1">"c6385"</definedName>
    <definedName name="IQ_UNPROFITABLE_INSTITUTIONS_FDIC" hidden="1">"c6722"</definedName>
    <definedName name="IQ_UNUSED_LOAN_COMMITMENTS_FDIC" hidden="1">"c6368"</definedName>
    <definedName name="IQ_US_BRANCHES_FOREIGN_BANK_LOANS_FDIC" hidden="1">"c6435"</definedName>
    <definedName name="IQ_US_BRANCHES_FOREIGN_BANKS_FDIC" hidden="1">"c6390"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VALUATION_ALLOWANCES_FDIC" hidden="1">"c6400"</definedName>
    <definedName name="IQ_VC_REVENUE_FDIC" hidden="1">"c6667"</definedName>
    <definedName name="IQ_VOLATILE_LIABILITIES_FDIC" hidden="1">"c6364"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YTDMONTH" hidden="1">130000</definedName>
    <definedName name="IQRAPPNB5" hidden="1">[1]APPN!$B$6</definedName>
    <definedName name="IQRAPPNC5" hidden="1">[1]APPN!$C$6</definedName>
    <definedName name="IQRAVLRB5" hidden="1">[1]AVLR!$B$6</definedName>
    <definedName name="IQRAVLRC5" hidden="1">[1]AVLR!$C$6</definedName>
    <definedName name="IQRB31" hidden="1">"$B$32:$B$531"</definedName>
    <definedName name="IQRB45" hidden="1">"$B$46:$B$550"</definedName>
    <definedName name="IQRBASEB5" hidden="1">[1]BASE!$B$6</definedName>
    <definedName name="IQRBASEC5" hidden="1">[1]BASE!$C$6</definedName>
    <definedName name="IQRBASEH5" hidden="1">[1]BASE!$H$6</definedName>
    <definedName name="IQRBASEI5" hidden="1">[1]BASE!$I$6</definedName>
    <definedName name="IQRCBLKB5" hidden="1">[1]CBLK!$B$6</definedName>
    <definedName name="IQRCBLKC5" hidden="1">[1]CBLK!$C$6</definedName>
    <definedName name="IQRCRWDB5" hidden="1">[1]CRWD!$B$6</definedName>
    <definedName name="IQRCRWDC5" hidden="1">[1]CRWD!$C$6</definedName>
    <definedName name="IQRDOCUB5" hidden="1">[1]DOCU!$B$6</definedName>
    <definedName name="IQRDOCUC5" hidden="1">[1]DOCU!$C$6</definedName>
    <definedName name="IQRDOMOB5" hidden="1">[1]DOMO!$B$6</definedName>
    <definedName name="IQRDOMOC5" hidden="1">[1]DOMO!$C$6</definedName>
    <definedName name="IQRDOMOH5" hidden="1">[1]DOMO!$H$6</definedName>
    <definedName name="IQRDOMOI5" hidden="1">[1]DOMO!$I$6</definedName>
    <definedName name="IQRDTB5" hidden="1">[1]DT!$B$6</definedName>
    <definedName name="IQRDTC5" hidden="1">[1]DT!$C$6</definedName>
    <definedName name="IQRMDBB5" hidden="1">[1]MDB!$B$6</definedName>
    <definedName name="IQRMDBC5" hidden="1">[1]MDB!$C$6</definedName>
    <definedName name="IQRNEWRB5" hidden="1">[1]NEWR!$B$6</definedName>
    <definedName name="IQRNEWRC5" hidden="1">[1]NEWR!$C$6</definedName>
    <definedName name="IQROKTAB5" hidden="1">[1]OKTA!$B$6</definedName>
    <definedName name="IQROKTAC5" hidden="1">[1]OKTA!$C$6</definedName>
    <definedName name="IQROKTAH5" hidden="1">[1]OKTA!$H$6</definedName>
    <definedName name="IQROKTAI5" hidden="1">[1]OKTA!$I$6</definedName>
    <definedName name="IQRPDB5" hidden="1">[1]PD!$B$6</definedName>
    <definedName name="IQRPDC5" hidden="1">[1]PD!$C$6</definedName>
    <definedName name="IQRPLANB5" hidden="1">[1]PLAN!$B$6</definedName>
    <definedName name="IQRPLANC5" hidden="1">[1]PLAN!$C$6</definedName>
    <definedName name="IQRSAILB5" hidden="1">[1]SAIL!$B$6</definedName>
    <definedName name="IQRSAILC5" hidden="1">[1]SAIL!$C$6</definedName>
    <definedName name="IQRSP500B45" localSheetId="0" hidden="1">#REF!</definedName>
    <definedName name="IQRSP500B45" hidden="1">#REF!</definedName>
    <definedName name="IQRTENBB5" hidden="1">[1]TENB!$B$6</definedName>
    <definedName name="IQRTENBC5" hidden="1">[1]TENB!$C$6</definedName>
    <definedName name="IQRZMB5" hidden="1">[1]ZM!$B$6</definedName>
    <definedName name="IQRZMC5" hidden="1">[1]ZM!$C$6</definedName>
    <definedName name="IQRZSB5" hidden="1">[1]ZS!$B$6</definedName>
    <definedName name="IQRZSC5" hidden="1">[1]ZS!$C$6</definedName>
    <definedName name="IQRZUOB5" hidden="1">[1]ZUO!$B$6</definedName>
    <definedName name="IQRZUOC5" hidden="1">[1]ZUO!$C$6</definedName>
    <definedName name="RawData">Data!$A$3:$AR$136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2" l="1" a="1"/>
  <c r="AT4" i="2" l="1"/>
  <c r="AS4" i="2"/>
  <c r="AR4" i="2"/>
  <c r="AQ4" i="2"/>
  <c r="AP4" i="2"/>
  <c r="AT3" i="2"/>
  <c r="AR3" i="2"/>
  <c r="AQ3" i="2"/>
  <c r="AP3" i="2"/>
  <c r="AS3" i="2"/>
  <c r="G5" i="2"/>
  <c r="AI4" i="2"/>
  <c r="AA4" i="2"/>
  <c r="S4" i="2"/>
  <c r="K4" i="2"/>
  <c r="AI3" i="2"/>
  <c r="AA3" i="2"/>
  <c r="S3" i="2"/>
  <c r="K3" i="2"/>
  <c r="AH4" i="2"/>
  <c r="Z4" i="2"/>
  <c r="R4" i="2"/>
  <c r="Z3" i="2"/>
  <c r="H3" i="2"/>
  <c r="H4" i="2"/>
  <c r="L3" i="2"/>
  <c r="T3" i="2"/>
  <c r="AB3" i="2"/>
  <c r="AJ3" i="2"/>
  <c r="L4" i="2"/>
  <c r="T4" i="2"/>
  <c r="AB4" i="2"/>
  <c r="AJ4" i="2"/>
  <c r="AK4" i="2"/>
  <c r="M3" i="2"/>
  <c r="U4" i="2"/>
  <c r="N3" i="2"/>
  <c r="V3" i="2"/>
  <c r="AD3" i="2"/>
  <c r="AL3" i="2"/>
  <c r="N4" i="2"/>
  <c r="V4" i="2"/>
  <c r="AD4" i="2"/>
  <c r="AL4" i="2"/>
  <c r="AH3" i="2"/>
  <c r="AK3" i="2"/>
  <c r="AC4" i="2"/>
  <c r="O3" i="2"/>
  <c r="W3" i="2"/>
  <c r="AE3" i="2"/>
  <c r="AM3" i="2"/>
  <c r="O4" i="2"/>
  <c r="W4" i="2"/>
  <c r="AE4" i="2"/>
  <c r="AM4" i="2"/>
  <c r="R3" i="2"/>
  <c r="AC3" i="2"/>
  <c r="M4" i="2"/>
  <c r="P3" i="2"/>
  <c r="X3" i="2"/>
  <c r="AF3" i="2"/>
  <c r="AN3" i="2"/>
  <c r="P4" i="2"/>
  <c r="X4" i="2"/>
  <c r="AF4" i="2"/>
  <c r="AN4" i="2"/>
  <c r="U3" i="2"/>
  <c r="Q3" i="2"/>
  <c r="Y3" i="2"/>
  <c r="AG3" i="2"/>
  <c r="AO3" i="2"/>
  <c r="Q4" i="2"/>
  <c r="Y4" i="2"/>
  <c r="AG4" i="2"/>
  <c r="AO4" i="2"/>
  <c r="B18" i="4" a="1"/>
  <c r="B18" i="4" l="1"/>
  <c r="AK1" i="3" l="1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R1" i="3"/>
  <c r="B15" i="4" l="1"/>
  <c r="B11" i="4"/>
  <c r="J25" i="3" l="1"/>
  <c r="E18" i="5"/>
  <c r="E17" i="5"/>
  <c r="C8" i="5"/>
  <c r="D8" i="5" s="1"/>
  <c r="E8" i="5" l="1"/>
  <c r="B9" i="5" l="1"/>
  <c r="B7" i="5"/>
  <c r="Q9" i="3"/>
  <c r="B6" i="5" l="1"/>
  <c r="C7" i="5"/>
  <c r="B10" i="5"/>
  <c r="C9" i="5"/>
  <c r="D10" i="3"/>
  <c r="E7" i="5" l="1"/>
  <c r="D7" i="5"/>
  <c r="D9" i="5"/>
  <c r="E9" i="5"/>
  <c r="B11" i="5"/>
  <c r="C10" i="5"/>
  <c r="B5" i="5"/>
  <c r="C6" i="5"/>
  <c r="D17" i="3"/>
  <c r="B12" i="5" l="1"/>
  <c r="C11" i="5"/>
  <c r="E6" i="5"/>
  <c r="D6" i="5"/>
  <c r="B4" i="5"/>
  <c r="C5" i="5"/>
  <c r="D10" i="5"/>
  <c r="E10" i="5"/>
  <c r="AA26" i="3"/>
  <c r="Z26" i="3"/>
  <c r="AA25" i="3"/>
  <c r="Z25" i="3"/>
  <c r="AA24" i="3"/>
  <c r="Z24" i="3"/>
  <c r="AA23" i="3"/>
  <c r="Z23" i="3"/>
  <c r="AA22" i="3"/>
  <c r="Z22" i="3"/>
  <c r="AA21" i="3"/>
  <c r="Z21" i="3"/>
  <c r="AA20" i="3"/>
  <c r="Z20" i="3"/>
  <c r="AA19" i="3"/>
  <c r="Z19" i="3"/>
  <c r="AA18" i="3"/>
  <c r="Z18" i="3"/>
  <c r="AA16" i="3"/>
  <c r="Z16" i="3"/>
  <c r="AA15" i="3"/>
  <c r="Z15" i="3"/>
  <c r="AA14" i="3"/>
  <c r="Z14" i="3"/>
  <c r="AA13" i="3"/>
  <c r="AA12" i="3"/>
  <c r="Z12" i="3"/>
  <c r="AA11" i="3"/>
  <c r="Z11" i="3"/>
  <c r="AA10" i="3"/>
  <c r="Z10" i="3"/>
  <c r="AA9" i="3"/>
  <c r="Z9" i="3"/>
  <c r="AA8" i="3"/>
  <c r="Z8" i="3"/>
  <c r="AA7" i="3"/>
  <c r="Z7" i="3"/>
  <c r="X26" i="3"/>
  <c r="X25" i="3"/>
  <c r="X24" i="3"/>
  <c r="X23" i="3"/>
  <c r="X22" i="3"/>
  <c r="X21" i="3"/>
  <c r="X20" i="3"/>
  <c r="X19" i="3"/>
  <c r="X18" i="3"/>
  <c r="AB18" i="3" s="1"/>
  <c r="X16" i="3"/>
  <c r="X15" i="3"/>
  <c r="AB15" i="3" s="1"/>
  <c r="X14" i="3"/>
  <c r="AB14" i="3" s="1"/>
  <c r="X13" i="3"/>
  <c r="X12" i="3"/>
  <c r="X11" i="3"/>
  <c r="X10" i="3"/>
  <c r="X9" i="3"/>
  <c r="X8" i="3"/>
  <c r="X7" i="3"/>
  <c r="Y17" i="3"/>
  <c r="AA17" i="3"/>
  <c r="Z17" i="3"/>
  <c r="X17" i="3"/>
  <c r="Q17" i="3"/>
  <c r="AC26" i="3"/>
  <c r="AC25" i="3"/>
  <c r="AC24" i="3"/>
  <c r="AC23" i="3"/>
  <c r="AC22" i="3"/>
  <c r="AC21" i="3"/>
  <c r="AC20" i="3"/>
  <c r="AC19" i="3"/>
  <c r="AC18" i="3"/>
  <c r="AC16" i="3"/>
  <c r="AC15" i="3"/>
  <c r="AC14" i="3"/>
  <c r="AC13" i="3"/>
  <c r="AC12" i="3"/>
  <c r="AC11" i="3"/>
  <c r="AC8" i="3"/>
  <c r="AC7" i="3"/>
  <c r="AB26" i="3"/>
  <c r="AB24" i="3"/>
  <c r="AB23" i="3"/>
  <c r="AB22" i="3"/>
  <c r="AB20" i="3"/>
  <c r="AB19" i="3"/>
  <c r="AB17" i="3"/>
  <c r="AB16" i="3"/>
  <c r="AB13" i="3"/>
  <c r="AB12" i="3"/>
  <c r="AB11" i="3"/>
  <c r="AB7" i="3"/>
  <c r="AB10" i="3"/>
  <c r="Y10" i="3"/>
  <c r="AC10" i="3" s="1"/>
  <c r="Q10" i="3"/>
  <c r="B6" i="4"/>
  <c r="B2" i="4"/>
  <c r="C2" i="4"/>
  <c r="A5" i="4"/>
  <c r="A1" i="4"/>
  <c r="J5" i="4"/>
  <c r="K6" i="4" s="1"/>
  <c r="B1" i="4"/>
  <c r="J2" i="4"/>
  <c r="I2" i="4"/>
  <c r="H2" i="4"/>
  <c r="G2" i="4"/>
  <c r="F2" i="4"/>
  <c r="E2" i="4"/>
  <c r="D2" i="4"/>
  <c r="K2" i="4"/>
  <c r="I1" i="4"/>
  <c r="H1" i="4" s="1"/>
  <c r="G1" i="4" s="1"/>
  <c r="F1" i="4" s="1"/>
  <c r="E1" i="4" s="1"/>
  <c r="D1" i="4" s="1"/>
  <c r="C1" i="4" s="1"/>
  <c r="J1" i="4"/>
  <c r="W29" i="3"/>
  <c r="V29" i="3"/>
  <c r="U29" i="3"/>
  <c r="T29" i="3"/>
  <c r="S29" i="3"/>
  <c r="R29" i="3"/>
  <c r="Q29" i="3"/>
  <c r="P29" i="3"/>
  <c r="W28" i="3"/>
  <c r="V28" i="3"/>
  <c r="U28" i="3"/>
  <c r="T28" i="3"/>
  <c r="S28" i="3"/>
  <c r="R28" i="3"/>
  <c r="Q28" i="3"/>
  <c r="P28" i="3"/>
  <c r="G26" i="3"/>
  <c r="I26" i="3" s="1"/>
  <c r="G25" i="3"/>
  <c r="I25" i="3" s="1"/>
  <c r="G24" i="3"/>
  <c r="I24" i="3" s="1"/>
  <c r="G23" i="3"/>
  <c r="I23" i="3" s="1"/>
  <c r="G22" i="3"/>
  <c r="I22" i="3" s="1"/>
  <c r="G21" i="3"/>
  <c r="I21" i="3" s="1"/>
  <c r="G20" i="3"/>
  <c r="I20" i="3" s="1"/>
  <c r="G19" i="3"/>
  <c r="I19" i="3" s="1"/>
  <c r="G18" i="3"/>
  <c r="I18" i="3" s="1"/>
  <c r="G17" i="3"/>
  <c r="I17" i="3" s="1"/>
  <c r="G16" i="3"/>
  <c r="I16" i="3" s="1"/>
  <c r="G15" i="3"/>
  <c r="I15" i="3" s="1"/>
  <c r="G14" i="3"/>
  <c r="I14" i="3" s="1"/>
  <c r="G13" i="3"/>
  <c r="I13" i="3" s="1"/>
  <c r="G12" i="3"/>
  <c r="I12" i="3" s="1"/>
  <c r="G11" i="3"/>
  <c r="I11" i="3" s="1"/>
  <c r="G10" i="3"/>
  <c r="I10" i="3" s="1"/>
  <c r="G9" i="3"/>
  <c r="I9" i="3" s="1"/>
  <c r="G8" i="3"/>
  <c r="I8" i="3" s="1"/>
  <c r="G7" i="3"/>
  <c r="I7" i="3" s="1"/>
  <c r="AB25" i="3" l="1"/>
  <c r="D5" i="5"/>
  <c r="E5" i="5"/>
  <c r="B3" i="5"/>
  <c r="C3" i="5" s="1"/>
  <c r="C4" i="5"/>
  <c r="E11" i="5"/>
  <c r="D11" i="5"/>
  <c r="B13" i="5"/>
  <c r="C13" i="5" s="1"/>
  <c r="C12" i="5"/>
  <c r="AA29" i="3"/>
  <c r="X29" i="3"/>
  <c r="AB9" i="3"/>
  <c r="Y9" i="3"/>
  <c r="AA28" i="3"/>
  <c r="Z29" i="3"/>
  <c r="Z28" i="3"/>
  <c r="AB8" i="3"/>
  <c r="AB21" i="3"/>
  <c r="X28" i="3"/>
  <c r="AC17" i="3"/>
  <c r="Y29" i="3"/>
  <c r="Y28" i="3"/>
  <c r="AB28" i="3"/>
  <c r="AB29" i="3"/>
  <c r="I5" i="4"/>
  <c r="J6" i="4"/>
  <c r="AI21" i="3"/>
  <c r="AJ21" i="3"/>
  <c r="AI15" i="3"/>
  <c r="AJ15" i="3"/>
  <c r="AD7" i="3"/>
  <c r="AJ7" i="3"/>
  <c r="AI7" i="3"/>
  <c r="AH7" i="3"/>
  <c r="AF7" i="3"/>
  <c r="AE7" i="3"/>
  <c r="AI11" i="3"/>
  <c r="AH11" i="3"/>
  <c r="AF11" i="3"/>
  <c r="AJ11" i="3"/>
  <c r="AE11" i="3"/>
  <c r="AD11" i="3"/>
  <c r="AI14" i="3"/>
  <c r="AH14" i="3"/>
  <c r="AF14" i="3"/>
  <c r="AD14" i="3"/>
  <c r="AE14" i="3"/>
  <c r="AJ14" i="3"/>
  <c r="AJ24" i="3"/>
  <c r="AI24" i="3"/>
  <c r="AF24" i="3"/>
  <c r="AD24" i="3"/>
  <c r="AG24" i="3" s="1"/>
  <c r="AH24" i="3"/>
  <c r="AK24" i="3" s="1"/>
  <c r="AE24" i="3"/>
  <c r="AJ18" i="3"/>
  <c r="AI18" i="3"/>
  <c r="AD18" i="3"/>
  <c r="AF18" i="3"/>
  <c r="AE18" i="3"/>
  <c r="AH18" i="3"/>
  <c r="AE13" i="3"/>
  <c r="AH13" i="3"/>
  <c r="AD13" i="3"/>
  <c r="AF13" i="3"/>
  <c r="AJ13" i="3"/>
  <c r="AI13" i="3"/>
  <c r="AE22" i="3"/>
  <c r="AJ22" i="3"/>
  <c r="AH22" i="3"/>
  <c r="AI22" i="3"/>
  <c r="AF22" i="3"/>
  <c r="AD22" i="3"/>
  <c r="AJ23" i="3"/>
  <c r="AI23" i="3"/>
  <c r="AH23" i="3"/>
  <c r="AD23" i="3"/>
  <c r="AF23" i="3"/>
  <c r="AE23" i="3"/>
  <c r="AE25" i="3"/>
  <c r="AF25" i="3"/>
  <c r="AD25" i="3"/>
  <c r="AH25" i="3"/>
  <c r="AJ25" i="3"/>
  <c r="AI25" i="3"/>
  <c r="AE19" i="3"/>
  <c r="AH19" i="3"/>
  <c r="AD19" i="3"/>
  <c r="AJ19" i="3"/>
  <c r="AI19" i="3"/>
  <c r="AF19" i="3"/>
  <c r="AI12" i="3"/>
  <c r="AJ12" i="3"/>
  <c r="AF12" i="3"/>
  <c r="AH12" i="3"/>
  <c r="AE12" i="3"/>
  <c r="AD12" i="3"/>
  <c r="AJ16" i="3"/>
  <c r="AF16" i="3"/>
  <c r="AE16" i="3"/>
  <c r="AI16" i="3"/>
  <c r="AH16" i="3"/>
  <c r="AD16" i="3"/>
  <c r="AJ26" i="3"/>
  <c r="AH26" i="3"/>
  <c r="AF26" i="3"/>
  <c r="AD26" i="3"/>
  <c r="AE26" i="3"/>
  <c r="AI26" i="3"/>
  <c r="AD17" i="3"/>
  <c r="AJ17" i="3"/>
  <c r="AI17" i="3"/>
  <c r="AH17" i="3"/>
  <c r="AF17" i="3"/>
  <c r="AE17" i="3"/>
  <c r="AF8" i="3"/>
  <c r="AH8" i="3"/>
  <c r="AE8" i="3"/>
  <c r="AD8" i="3"/>
  <c r="AI8" i="3"/>
  <c r="AJ8" i="3"/>
  <c r="AH9" i="3"/>
  <c r="AE9" i="3"/>
  <c r="AF9" i="3"/>
  <c r="AD9" i="3"/>
  <c r="AI9" i="3"/>
  <c r="AJ9" i="3"/>
  <c r="AJ10" i="3"/>
  <c r="AD10" i="3"/>
  <c r="AI10" i="3"/>
  <c r="AH10" i="3"/>
  <c r="AF10" i="3"/>
  <c r="AE10" i="3"/>
  <c r="AF20" i="3"/>
  <c r="AD20" i="3"/>
  <c r="AE20" i="3"/>
  <c r="AJ20" i="3"/>
  <c r="AI20" i="3"/>
  <c r="AH20" i="3"/>
  <c r="AD15" i="3"/>
  <c r="AE15" i="3"/>
  <c r="AE21" i="3"/>
  <c r="AF15" i="3"/>
  <c r="AF21" i="3"/>
  <c r="AH15" i="3"/>
  <c r="AH21" i="3"/>
  <c r="AD21" i="3"/>
  <c r="E12" i="5" l="1"/>
  <c r="D12" i="5"/>
  <c r="E4" i="5"/>
  <c r="D4" i="5"/>
  <c r="E3" i="5"/>
  <c r="D3" i="5"/>
  <c r="E13" i="5"/>
  <c r="D13" i="5"/>
  <c r="AC9" i="3"/>
  <c r="AC28" i="3"/>
  <c r="AK19" i="3"/>
  <c r="AK11" i="3"/>
  <c r="AG12" i="3"/>
  <c r="AG22" i="3"/>
  <c r="AG14" i="3"/>
  <c r="AK7" i="3"/>
  <c r="AG20" i="3"/>
  <c r="AK21" i="3"/>
  <c r="AK15" i="3"/>
  <c r="AG25" i="3"/>
  <c r="AK22" i="3"/>
  <c r="AG7" i="3"/>
  <c r="AG16" i="3"/>
  <c r="AG8" i="3"/>
  <c r="AG26" i="3"/>
  <c r="AK12" i="3"/>
  <c r="AK25" i="3"/>
  <c r="AG21" i="3"/>
  <c r="AK9" i="3"/>
  <c r="AG17" i="3"/>
  <c r="AK26" i="3"/>
  <c r="AG15" i="3"/>
  <c r="AK20" i="3"/>
  <c r="AK16" i="3"/>
  <c r="AK8" i="3"/>
  <c r="AK14" i="3"/>
  <c r="AG9" i="3"/>
  <c r="AK17" i="3"/>
  <c r="AG23" i="3"/>
  <c r="AG19" i="3"/>
  <c r="AK23" i="3"/>
  <c r="AG10" i="3"/>
  <c r="AK10" i="3"/>
  <c r="AK18" i="3"/>
  <c r="AG18" i="3"/>
  <c r="AG13" i="3"/>
  <c r="AK13" i="3"/>
  <c r="H5" i="4"/>
  <c r="I6" i="4" s="1"/>
  <c r="AI28" i="3"/>
  <c r="AI29" i="3"/>
  <c r="AJ29" i="3"/>
  <c r="AF29" i="3"/>
  <c r="AE29" i="3"/>
  <c r="AF28" i="3"/>
  <c r="AH29" i="3"/>
  <c r="AJ28" i="3"/>
  <c r="AE28" i="3"/>
  <c r="AD29" i="3"/>
  <c r="AH28" i="3"/>
  <c r="AD28" i="3"/>
  <c r="AC29" i="3" l="1"/>
  <c r="AG29" i="3"/>
  <c r="AG28" i="3"/>
  <c r="AK29" i="3"/>
  <c r="AK28" i="3"/>
  <c r="G5" i="4"/>
  <c r="H6" i="4" s="1"/>
  <c r="F5" i="4" l="1"/>
  <c r="G6" i="4" s="1"/>
  <c r="E5" i="4" l="1"/>
  <c r="D5" i="4" l="1"/>
  <c r="E6" i="4"/>
  <c r="F6" i="4"/>
  <c r="C5" i="4" l="1"/>
  <c r="D6" i="4" s="1"/>
  <c r="B5" i="4" l="1"/>
  <c r="C6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<sst xmlns="http://schemas.openxmlformats.org/spreadsheetml/2006/main" count="1111" uniqueCount="406">
  <si>
    <t>Ticker</t>
  </si>
  <si>
    <t>MSFT</t>
  </si>
  <si>
    <t>ORCL</t>
  </si>
  <si>
    <t>SAP</t>
  </si>
  <si>
    <t>PLTR</t>
  </si>
  <si>
    <t>CRM</t>
  </si>
  <si>
    <t>INTU</t>
  </si>
  <si>
    <t>NOW</t>
  </si>
  <si>
    <t>ADBE</t>
  </si>
  <si>
    <t>SHOP</t>
  </si>
  <si>
    <t>APP</t>
  </si>
  <si>
    <t>CDNS</t>
  </si>
  <si>
    <t>SNPS</t>
  </si>
  <si>
    <t>WDAY</t>
  </si>
  <si>
    <t>ADSK</t>
  </si>
  <si>
    <t>TEAM</t>
  </si>
  <si>
    <t>VEEV</t>
  </si>
  <si>
    <t>CSGP</t>
  </si>
  <si>
    <t>HUBS</t>
  </si>
  <si>
    <t>GDDY</t>
  </si>
  <si>
    <t>ZM</t>
  </si>
  <si>
    <t>IOT</t>
  </si>
  <si>
    <t>GWRE</t>
  </si>
  <si>
    <t>PTC</t>
  </si>
  <si>
    <t>SSNC</t>
  </si>
  <si>
    <t>BSY</t>
  </si>
  <si>
    <t>MNDY</t>
  </si>
  <si>
    <t>DOCU</t>
  </si>
  <si>
    <t>PAYC</t>
  </si>
  <si>
    <t>MANH</t>
  </si>
  <si>
    <t>DOCS</t>
  </si>
  <si>
    <t>U</t>
  </si>
  <si>
    <t>KVYO</t>
  </si>
  <si>
    <t>PCTY</t>
  </si>
  <si>
    <t>PCOR</t>
  </si>
  <si>
    <t>DAY</t>
  </si>
  <si>
    <t>WIX</t>
  </si>
  <si>
    <t>DSGX</t>
  </si>
  <si>
    <t>APPF</t>
  </si>
  <si>
    <t>OS</t>
  </si>
  <si>
    <t>CWAN</t>
  </si>
  <si>
    <t>VERX</t>
  </si>
  <si>
    <t>CCCS</t>
  </si>
  <si>
    <t>QTWO</t>
  </si>
  <si>
    <t>SPSC</t>
  </si>
  <si>
    <t>FRSH</t>
  </si>
  <si>
    <t>INTA</t>
  </si>
  <si>
    <t>BILL</t>
  </si>
  <si>
    <t>PAY</t>
  </si>
  <si>
    <t>CLBT</t>
  </si>
  <si>
    <t>WK</t>
  </si>
  <si>
    <t>BL</t>
  </si>
  <si>
    <t>YOU</t>
  </si>
  <si>
    <t>ASAN</t>
  </si>
  <si>
    <t>NCNO</t>
  </si>
  <si>
    <t>BRZE</t>
  </si>
  <si>
    <t>BLKB</t>
  </si>
  <si>
    <t>ZETA</t>
  </si>
  <si>
    <t>ALRM</t>
  </si>
  <si>
    <t>ALKT</t>
  </si>
  <si>
    <t>RNG</t>
  </si>
  <si>
    <t>DV</t>
  </si>
  <si>
    <t>CXM</t>
  </si>
  <si>
    <t>FIVN</t>
  </si>
  <si>
    <t>EVCM</t>
  </si>
  <si>
    <t>SPNS</t>
  </si>
  <si>
    <t>LZ</t>
  </si>
  <si>
    <t>AMPL</t>
  </si>
  <si>
    <t>LSPD</t>
  </si>
  <si>
    <t>XMTR</t>
  </si>
  <si>
    <t>KARO</t>
  </si>
  <si>
    <t>IAS</t>
  </si>
  <si>
    <t>SEMR</t>
  </si>
  <si>
    <t>MLNK</t>
  </si>
  <si>
    <t>JAMF</t>
  </si>
  <si>
    <t>VTEX</t>
  </si>
  <si>
    <t>SPT</t>
  </si>
  <si>
    <t>VRNT</t>
  </si>
  <si>
    <t>UDMY</t>
  </si>
  <si>
    <t>BASE</t>
  </si>
  <si>
    <t>YEXT</t>
  </si>
  <si>
    <t>DCBO</t>
  </si>
  <si>
    <t>RSKD</t>
  </si>
  <si>
    <t>PRO</t>
  </si>
  <si>
    <t>WEAV</t>
  </si>
  <si>
    <t>SMWB</t>
  </si>
  <si>
    <t>DOMO</t>
  </si>
  <si>
    <t>DH</t>
  </si>
  <si>
    <t>KLTR</t>
  </si>
  <si>
    <t>IBM</t>
  </si>
  <si>
    <t>PANW</t>
  </si>
  <si>
    <t>CRWD</t>
  </si>
  <si>
    <t>FTNT</t>
  </si>
  <si>
    <t>CRWV</t>
  </si>
  <si>
    <t>SNOW</t>
  </si>
  <si>
    <t>NET</t>
  </si>
  <si>
    <t>ZS</t>
  </si>
  <si>
    <t>DDOG</t>
  </si>
  <si>
    <t>CHKP</t>
  </si>
  <si>
    <t>NTNX</t>
  </si>
  <si>
    <t>CYBR</t>
  </si>
  <si>
    <t>PSTG</t>
  </si>
  <si>
    <t>TWLO</t>
  </si>
  <si>
    <t>OKTA</t>
  </si>
  <si>
    <t>MDB</t>
  </si>
  <si>
    <t>DT</t>
  </si>
  <si>
    <t>SAIL</t>
  </si>
  <si>
    <t>AKAM</t>
  </si>
  <si>
    <t>PEGA</t>
  </si>
  <si>
    <t>ESTC</t>
  </si>
  <si>
    <t>CFLT</t>
  </si>
  <si>
    <t>CVLT</t>
  </si>
  <si>
    <t>DBX</t>
  </si>
  <si>
    <t>INFA</t>
  </si>
  <si>
    <t>GTLB</t>
  </si>
  <si>
    <t>PATH</t>
  </si>
  <si>
    <t>BOX</t>
  </si>
  <si>
    <t>S</t>
  </si>
  <si>
    <t>VRNS</t>
  </si>
  <si>
    <t>FROG</t>
  </si>
  <si>
    <t>QLYS</t>
  </si>
  <si>
    <t>AI</t>
  </si>
  <si>
    <t>TENB</t>
  </si>
  <si>
    <t>AVPT</t>
  </si>
  <si>
    <t>PRGS</t>
  </si>
  <si>
    <t>DOCN</t>
  </si>
  <si>
    <t>APPN</t>
  </si>
  <si>
    <t>TDC</t>
  </si>
  <si>
    <t>NABL</t>
  </si>
  <si>
    <t>RPD</t>
  </si>
  <si>
    <t>PD</t>
  </si>
  <si>
    <t>FSLY</t>
  </si>
  <si>
    <t>BAND</t>
  </si>
  <si>
    <t>Long Name</t>
  </si>
  <si>
    <t>Microsoft Corp</t>
  </si>
  <si>
    <t>Oracle Corp</t>
  </si>
  <si>
    <t>SAP SE</t>
  </si>
  <si>
    <t>Palantir Technologies Inc</t>
  </si>
  <si>
    <t>Salesforce Inc</t>
  </si>
  <si>
    <t>Intuit Inc</t>
  </si>
  <si>
    <t>ServiceNow Inc</t>
  </si>
  <si>
    <t>Adobe Inc</t>
  </si>
  <si>
    <t>Shopify Inc</t>
  </si>
  <si>
    <t>AppLovin Corp</t>
  </si>
  <si>
    <t>Cadence Design Systems Inc</t>
  </si>
  <si>
    <t>Synopsys Inc</t>
  </si>
  <si>
    <t>Workday Inc</t>
  </si>
  <si>
    <t>Autodesk Inc</t>
  </si>
  <si>
    <t>Atlassian Corp</t>
  </si>
  <si>
    <t>Veeva Systems Inc</t>
  </si>
  <si>
    <t>CoStar Group Inc</t>
  </si>
  <si>
    <t>HubSpot Inc</t>
  </si>
  <si>
    <t>GoDaddy Inc</t>
  </si>
  <si>
    <t>Zoom Communications Inc</t>
  </si>
  <si>
    <t>Samsara Inc</t>
  </si>
  <si>
    <t>Guidewire Software Inc</t>
  </si>
  <si>
    <t>PTC Inc</t>
  </si>
  <si>
    <t>SS&amp;C Technologies Holdings Inc</t>
  </si>
  <si>
    <t>Bentley Systems Inc</t>
  </si>
  <si>
    <t>Monday.com</t>
  </si>
  <si>
    <t>Docusign Inc</t>
  </si>
  <si>
    <t>Paycom Software Inc</t>
  </si>
  <si>
    <t>Manhattan Associates Inc</t>
  </si>
  <si>
    <t>Doximity Inc</t>
  </si>
  <si>
    <t>Unity Software Inc</t>
  </si>
  <si>
    <t>Klaviyo Inc</t>
  </si>
  <si>
    <t>Paylocity Holding Corp</t>
  </si>
  <si>
    <t>Procore Technologies Inc</t>
  </si>
  <si>
    <t>Dayforce Inc</t>
  </si>
  <si>
    <t>Wix.com Ltd</t>
  </si>
  <si>
    <t>Descartes Systems Group Inc/The</t>
  </si>
  <si>
    <t>Appfolio Inc</t>
  </si>
  <si>
    <t>Onestream Inc</t>
  </si>
  <si>
    <t>Clearwater Analytics Holdings Inc</t>
  </si>
  <si>
    <t>Vertex Inc</t>
  </si>
  <si>
    <t>CCC Intelligent Solutions Holdings Inc</t>
  </si>
  <si>
    <t>Q2 Holdings Inc</t>
  </si>
  <si>
    <t>SPS Commerce Inc</t>
  </si>
  <si>
    <t>Freshworks</t>
  </si>
  <si>
    <t>Intapp Inc</t>
  </si>
  <si>
    <t>BILL Holdings Inc</t>
  </si>
  <si>
    <t>Paymentus Holdings Inc</t>
  </si>
  <si>
    <t>Cellebrite DI Ltd</t>
  </si>
  <si>
    <t>Workiva Inc</t>
  </si>
  <si>
    <t>BlackLine</t>
  </si>
  <si>
    <t>Clear Secure Inc</t>
  </si>
  <si>
    <t>Asana</t>
  </si>
  <si>
    <t>nCino Inc</t>
  </si>
  <si>
    <t>Braze</t>
  </si>
  <si>
    <t>Blackbaud Inc</t>
  </si>
  <si>
    <t>Zeta Global Holdings Corp</t>
  </si>
  <si>
    <t>Alarm.com Holdings Inc</t>
  </si>
  <si>
    <t>Alkami Technology Inc</t>
  </si>
  <si>
    <t>RingCentral Inc</t>
  </si>
  <si>
    <t>DoubleVerify Holdings Inc</t>
  </si>
  <si>
    <t>Sprinklr</t>
  </si>
  <si>
    <t>Five9 Inc</t>
  </si>
  <si>
    <t>EverCommerce Inc</t>
  </si>
  <si>
    <t>Sapiens International Corp NV</t>
  </si>
  <si>
    <t>Legalzoom.com Inc</t>
  </si>
  <si>
    <t>Amplitude Inc</t>
  </si>
  <si>
    <t>Lightspeed Commerce Inc</t>
  </si>
  <si>
    <t>Xometry Inc</t>
  </si>
  <si>
    <t>Karooooo Ltd</t>
  </si>
  <si>
    <t>Integral Ad Science Holding Corp</t>
  </si>
  <si>
    <t>SEMrush Holdings Inc</t>
  </si>
  <si>
    <t>Meridianlink Inc</t>
  </si>
  <si>
    <t>Jamf Holding Corp</t>
  </si>
  <si>
    <t>Sprout Social Inc</t>
  </si>
  <si>
    <t>Verint Systems Inc</t>
  </si>
  <si>
    <t>Udemy Inc</t>
  </si>
  <si>
    <t>Couchbase Inc</t>
  </si>
  <si>
    <t>Yext Inc</t>
  </si>
  <si>
    <t>Docebo Inc</t>
  </si>
  <si>
    <t>Riskified Ltd</t>
  </si>
  <si>
    <t>PROS Holdings Inc</t>
  </si>
  <si>
    <t>Weave Communications Inc</t>
  </si>
  <si>
    <t>SimilarWeb Ltd</t>
  </si>
  <si>
    <t>Domo Inc</t>
  </si>
  <si>
    <t>Definitive Healthcare Corp</t>
  </si>
  <si>
    <t>BigCommerce Holdings Inc</t>
  </si>
  <si>
    <t>Kaltura Inc</t>
  </si>
  <si>
    <t>International Business Machines Corp</t>
  </si>
  <si>
    <t>Palo Alto Networks Inc</t>
  </si>
  <si>
    <t>Crowdstrike Holdings Inc</t>
  </si>
  <si>
    <t>Fortinet Inc</t>
  </si>
  <si>
    <t>CoreWeave Inc</t>
  </si>
  <si>
    <t>Snowflake Inc</t>
  </si>
  <si>
    <t>Cloudflare Inc</t>
  </si>
  <si>
    <t>Zscaler Inc</t>
  </si>
  <si>
    <t>Datadog Inc</t>
  </si>
  <si>
    <t>Check Point Software Technologies Ltd</t>
  </si>
  <si>
    <t>Nutanix</t>
  </si>
  <si>
    <t>CyberArk Software Ltd</t>
  </si>
  <si>
    <t>Pure Storage</t>
  </si>
  <si>
    <t>Twilio Inc</t>
  </si>
  <si>
    <t>Okta Inc</t>
  </si>
  <si>
    <t>MongoDB Inc</t>
  </si>
  <si>
    <t>Dynatrace</t>
  </si>
  <si>
    <t>SailPoint Inc</t>
  </si>
  <si>
    <t>Akamai Technologies Inc</t>
  </si>
  <si>
    <t>Pegasystems</t>
  </si>
  <si>
    <t>Elastic</t>
  </si>
  <si>
    <t>Confluent</t>
  </si>
  <si>
    <t>Commvault Systems Inc</t>
  </si>
  <si>
    <t>Dropbox Inc</t>
  </si>
  <si>
    <t>Informatica</t>
  </si>
  <si>
    <t>Gitlab</t>
  </si>
  <si>
    <t>UiPath Inc</t>
  </si>
  <si>
    <t>Box</t>
  </si>
  <si>
    <t>SentinelOne Inc</t>
  </si>
  <si>
    <t>Varonis Systems Inc</t>
  </si>
  <si>
    <t>JFrog</t>
  </si>
  <si>
    <t>Qualys Inc</t>
  </si>
  <si>
    <t>C3.ai</t>
  </si>
  <si>
    <t>Tenable Holdings Inc</t>
  </si>
  <si>
    <t>AvePoint Inc</t>
  </si>
  <si>
    <t>Progress</t>
  </si>
  <si>
    <t>Digital Ocean</t>
  </si>
  <si>
    <t>Appian Corp</t>
  </si>
  <si>
    <t>Teradata Corp</t>
  </si>
  <si>
    <t>N-able Inc/US</t>
  </si>
  <si>
    <t>Rapid7 Inc</t>
  </si>
  <si>
    <t>PagerDuty</t>
  </si>
  <si>
    <t>Fastly Inc</t>
  </si>
  <si>
    <t>Bandwidth Inc</t>
  </si>
  <si>
    <t>Market  Cap ($M)</t>
  </si>
  <si>
    <t>EV ($M)</t>
  </si>
  <si>
    <t>FTM Revenue</t>
  </si>
  <si>
    <t>MRQ Revenue Growth</t>
  </si>
  <si>
    <t>FTM Revenue Growth</t>
  </si>
  <si>
    <t>CY25E Revenue Growth</t>
  </si>
  <si>
    <t>CY26E Revenue Growth</t>
  </si>
  <si>
    <t>CY25E Gross Margin (Non-GAAP)</t>
  </si>
  <si>
    <t>CY26E Gross Margin (Non-GAAP)</t>
  </si>
  <si>
    <t>CY25E Operating Margin (Non-GAAP)</t>
  </si>
  <si>
    <t>CY26E Operating Margin (Non-GAAP)</t>
  </si>
  <si>
    <t>FTM uFCF Margin</t>
  </si>
  <si>
    <t>NM</t>
  </si>
  <si>
    <t>FTM FCF SBC Adj. Margin</t>
  </si>
  <si>
    <t>CY25E uFCF Margin</t>
  </si>
  <si>
    <t>CY26E uFCF Margin</t>
  </si>
  <si>
    <t>Growth + FCF Margin (FTM)</t>
  </si>
  <si>
    <t>Growth + FCF (SBC Adj.)  Margin (FTM)</t>
  </si>
  <si>
    <t>EV/Rev (FTM)</t>
  </si>
  <si>
    <t>EV/Rev  (CY25E)</t>
  </si>
  <si>
    <t>EV/Rev  (CY26E)</t>
  </si>
  <si>
    <t>EV/Rev/g  (FTM)</t>
  </si>
  <si>
    <t>EV/uFCF (FTM)</t>
  </si>
  <si>
    <t>EV/uFCF (CY25E)</t>
  </si>
  <si>
    <t>EV/uFCF (CY26E)</t>
  </si>
  <si>
    <t>EV/uFCF/g (FTM)</t>
  </si>
  <si>
    <t>Vertical  Vs Horizontal</t>
  </si>
  <si>
    <t>Horizontal</t>
  </si>
  <si>
    <t>Vertical</t>
  </si>
  <si>
    <t>-</t>
  </si>
  <si>
    <t>App or Infra</t>
  </si>
  <si>
    <t>Application</t>
  </si>
  <si>
    <t>Infrastructure</t>
  </si>
  <si>
    <t>Metric</t>
  </si>
  <si>
    <t>Min</t>
  </si>
  <si>
    <t>Max</t>
  </si>
  <si>
    <t>Col #</t>
  </si>
  <si>
    <t>EV/Rev (CY26E)</t>
  </si>
  <si>
    <t>Market Cap ($M)</t>
  </si>
  <si>
    <t>Average</t>
  </si>
  <si>
    <t>Median</t>
  </si>
  <si>
    <t>Coverage</t>
  </si>
  <si>
    <t>J.P. MORGAN SOFTWARE</t>
  </si>
  <si>
    <t>REVENUE GROWTH</t>
  </si>
  <si>
    <t>MARGINS</t>
  </si>
  <si>
    <t>MULTIPLES</t>
  </si>
  <si>
    <t>JPM Rating</t>
  </si>
  <si>
    <t>JPM PT</t>
  </si>
  <si>
    <t>Shares</t>
  </si>
  <si>
    <t>Market 
Cap ($M)</t>
  </si>
  <si>
    <t>Net-cash</t>
  </si>
  <si>
    <t>2025 Revenue</t>
  </si>
  <si>
    <t>2026 Revenue</t>
  </si>
  <si>
    <t>FTM FCF</t>
  </si>
  <si>
    <t>2025 FCF</t>
  </si>
  <si>
    <t>2026 FCF</t>
  </si>
  <si>
    <t>EV/Rev
(FTM)</t>
  </si>
  <si>
    <t>EV/Rev 
(CY25E)</t>
  </si>
  <si>
    <t>EV/Rev 
(CY26E)</t>
  </si>
  <si>
    <t>EV/Rev/g 
(FTM)</t>
  </si>
  <si>
    <t>EV/uFCF
(FTM)</t>
  </si>
  <si>
    <t>EV/uFCF/g
(FTM)</t>
  </si>
  <si>
    <t>OW</t>
  </si>
  <si>
    <t>N</t>
  </si>
  <si>
    <t>UW</t>
  </si>
  <si>
    <t>EV/uFCF (2026)</t>
  </si>
  <si>
    <t>Text</t>
  </si>
  <si>
    <t>S/w Category</t>
  </si>
  <si>
    <t>Horizontal or Vertical</t>
  </si>
  <si>
    <t>Gross Margin (2026)</t>
  </si>
  <si>
    <t>Comps</t>
  </si>
  <si>
    <t>Sub Category</t>
  </si>
  <si>
    <t>Observability</t>
  </si>
  <si>
    <t>Security</t>
  </si>
  <si>
    <t>Data Warehouse</t>
  </si>
  <si>
    <t>Collaboration</t>
  </si>
  <si>
    <t>Data</t>
  </si>
  <si>
    <t>Backup</t>
  </si>
  <si>
    <t>Developer Related</t>
  </si>
  <si>
    <t>Sub Sector</t>
  </si>
  <si>
    <t>CRM, Front-office</t>
  </si>
  <si>
    <t>Creative, Marketing</t>
  </si>
  <si>
    <t>ecommerce</t>
  </si>
  <si>
    <t>Marketing</t>
  </si>
  <si>
    <t>Design, Engineering</t>
  </si>
  <si>
    <t>Real Estate</t>
  </si>
  <si>
    <t>Website Hosting</t>
  </si>
  <si>
    <t>Communication</t>
  </si>
  <si>
    <t>Insurance</t>
  </si>
  <si>
    <t>HR, Finance, Back-office</t>
  </si>
  <si>
    <t>Payroll, HR, Back-office</t>
  </si>
  <si>
    <t>Supply Chain, Back-office</t>
  </si>
  <si>
    <t>Finance, Back-office</t>
  </si>
  <si>
    <t>Marketing, Front-office</t>
  </si>
  <si>
    <t>Marketing, CRM, Front-office</t>
  </si>
  <si>
    <t>CRM, Collaboration, Front-office, Back-office</t>
  </si>
  <si>
    <t>Workflow automation, ITSM, Back-office</t>
  </si>
  <si>
    <t>ITSM, Customer Support, Front-office, Back-office</t>
  </si>
  <si>
    <t>Customer Engagement, Experience</t>
  </si>
  <si>
    <t>Customer Engagement, Marketing, Front-office</t>
  </si>
  <si>
    <t>Customer Engagement,Marketing</t>
  </si>
  <si>
    <t>Consumption, Data</t>
  </si>
  <si>
    <t>Developer Related, Consumption</t>
  </si>
  <si>
    <t>Observability, Developer Related, Consumption</t>
  </si>
  <si>
    <t>Net-Cash</t>
  </si>
  <si>
    <t>2025 Revenue Est.</t>
  </si>
  <si>
    <t>2026 Revenue Est.</t>
  </si>
  <si>
    <t>Price</t>
  </si>
  <si>
    <t>EV</t>
  </si>
  <si>
    <t>Inc</t>
  </si>
  <si>
    <t>EV/2026 Rev</t>
  </si>
  <si>
    <t>CY26 Rev</t>
  </si>
  <si>
    <t>CY27 Rev</t>
  </si>
  <si>
    <t>y/y growth (%)</t>
  </si>
  <si>
    <t>y/y growth ($)</t>
  </si>
  <si>
    <t>EV/2025 Rev</t>
  </si>
  <si>
    <t>Price (9/15/25)</t>
  </si>
  <si>
    <t>LTM Revenue</t>
  </si>
  <si>
    <t>2024 Revenue</t>
  </si>
  <si>
    <t>2025 FCF Est.</t>
  </si>
  <si>
    <t>2026 FCF Est.</t>
  </si>
  <si>
    <t>FTM FCF Margin</t>
  </si>
  <si>
    <t>CY25E FCF Margin</t>
  </si>
  <si>
    <t>CY26E FCF Margin</t>
  </si>
  <si>
    <t>CMRC</t>
  </si>
  <si>
    <t>FIG</t>
  </si>
  <si>
    <t>Figma</t>
  </si>
  <si>
    <t>FTM EBITDA</t>
  </si>
  <si>
    <t>EV/EBITDA (FTM)</t>
  </si>
  <si>
    <t>Cloud Or Hybrid</t>
  </si>
  <si>
    <t>Cloud</t>
  </si>
  <si>
    <t>Hybrid</t>
  </si>
  <si>
    <t>Cloud or Hybrid</t>
  </si>
  <si>
    <t>LTM Revenue Growth</t>
  </si>
  <si>
    <t>LTM FCF Margin</t>
  </si>
  <si>
    <t>Growth + FCF Margin (LTM)</t>
  </si>
  <si>
    <t>#N/A N/A</t>
  </si>
  <si>
    <t>data center</t>
  </si>
  <si>
    <t>#N/A BQL Compute Capacity</t>
  </si>
  <si>
    <t>Data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</si>
</sst>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0.0\x"/>
    <numFmt numFmtId="165" formatCode="0.00\x"/>
    <numFmt numFmtId="166" formatCode="_(* #,##0_);_(* \(#,##0\);_(* &quot;-&quot;??_);_(@_)"/>
    <numFmt numFmtId="167" formatCode="0.0%"/>
    <numFmt numFmtId="168" formatCode="[$-409]mmm\-yy;@"/>
    <numFmt numFmtId="169" formatCode="&quot;$&quot;#,##0"/>
    <numFmt numFmtId="170" formatCode="&quot;$&quot;#,##0\M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0"/>
      <color theme="1"/>
      <name val="Calibri"/>
      <family val="2"/>
      <scheme val="minor"/>
    </font>
    <font>
      <b/>
      <i/>
      <sz val="10"/>
      <name val="Arial"/>
      <family val="2"/>
    </font>
    <font>
      <b/>
      <sz val="12"/>
      <color theme="0"/>
      <name val="Arial"/>
      <family val="2"/>
    </font>
    <font>
      <b/>
      <i/>
      <sz val="10"/>
      <color theme="0"/>
      <name val="Arial"/>
      <family val="2"/>
    </font>
    <font>
      <i/>
      <sz val="8"/>
      <name val="Arial"/>
      <family val="2"/>
    </font>
    <font>
      <sz val="8"/>
      <color rgb="FF0000FF"/>
      <name val="Arial"/>
      <family val="2"/>
    </font>
    <font>
      <sz val="8"/>
      <color rgb="FFFF0000"/>
      <name val="Arial"/>
      <family val="2"/>
    </font>
    <font>
      <sz val="8"/>
      <name val="Arial"/>
      <family val="2"/>
    </font>
    <font>
      <sz val="8"/>
      <color rgb="FF0432FF"/>
      <name val="Arial"/>
      <family val="2"/>
    </font>
    <font>
      <sz val="8"/>
      <color rgb="FFC00000"/>
      <name val="Arial"/>
      <family val="2"/>
    </font>
    <font>
      <sz val="11"/>
      <color theme="0" tint="-0.249977111117893"/>
      <name val="Calibri"/>
      <family val="2"/>
      <scheme val="minor"/>
    </font>
    <font>
      <sz val="11"/>
      <color rgb="FF0432FF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u/>
      <sz val="11"/>
      <color theme="3"/>
      <name val="Calibri"/>
      <family val="2"/>
      <scheme val="minor"/>
    </font>
    <font>
      <b/>
      <sz val="8"/>
      <color rgb="FF0432FF"/>
      <name val="Arial"/>
      <family val="2"/>
    </font>
    <font>
      <sz val="10"/>
      <color rgb="FF0432FF"/>
      <name val="Arial"/>
      <family val="2"/>
    </font>
    <font>
      <sz val="10"/>
      <color rgb="FF00B050"/>
      <name val="Arial"/>
      <family val="2"/>
    </font>
    <font>
      <i/>
      <sz val="8"/>
      <color rgb="FFFF0000"/>
      <name val="Arial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C00000"/>
      <name val="Arial"/>
      <family val="2"/>
    </font>
    <font>
      <sz val="8"/>
      <color theme="0" tint="-0.1499984740745262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2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9" fontId="3" fillId="0" borderId="0" xfId="2" applyFont="1" applyFill="1" applyAlignment="1">
      <alignment horizontal="right"/>
    </xf>
    <xf numFmtId="9" fontId="3" fillId="0" borderId="0" xfId="1" applyNumberFormat="1" applyFont="1" applyFill="1" applyAlignment="1">
      <alignment horizontal="right"/>
    </xf>
    <xf numFmtId="9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3" applyFont="1" applyAlignment="1">
      <alignment horizontal="center"/>
    </xf>
    <xf numFmtId="0" fontId="3" fillId="0" borderId="0" xfId="3"/>
    <xf numFmtId="0" fontId="7" fillId="2" borderId="0" xfId="3" applyFont="1" applyFill="1" applyAlignment="1">
      <alignment horizontal="left" vertical="center"/>
    </xf>
    <xf numFmtId="0" fontId="8" fillId="2" borderId="0" xfId="3" applyFont="1" applyFill="1" applyAlignment="1">
      <alignment horizontal="center"/>
    </xf>
    <xf numFmtId="0" fontId="9" fillId="0" borderId="0" xfId="3" applyFont="1" applyAlignment="1">
      <alignment horizontal="center"/>
    </xf>
    <xf numFmtId="0" fontId="2" fillId="0" borderId="4" xfId="3" applyFont="1" applyBorder="1" applyAlignment="1">
      <alignment vertical="center"/>
    </xf>
    <xf numFmtId="0" fontId="2" fillId="0" borderId="4" xfId="3" applyFont="1" applyBorder="1" applyAlignment="1">
      <alignment horizontal="center" vertical="center" wrapText="1"/>
    </xf>
    <xf numFmtId="0" fontId="2" fillId="0" borderId="2" xfId="3" applyFont="1" applyBorder="1" applyAlignment="1">
      <alignment horizontal="center" vertical="center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center"/>
    </xf>
    <xf numFmtId="8" fontId="10" fillId="0" borderId="0" xfId="4" applyNumberFormat="1" applyFont="1" applyFill="1" applyAlignment="1">
      <alignment horizontal="center"/>
    </xf>
    <xf numFmtId="4" fontId="11" fillId="0" borderId="0" xfId="3" applyNumberFormat="1" applyFont="1"/>
    <xf numFmtId="3" fontId="12" fillId="0" borderId="0" xfId="3" applyNumberFormat="1" applyFont="1"/>
    <xf numFmtId="166" fontId="10" fillId="0" borderId="0" xfId="4" applyNumberFormat="1" applyFont="1" applyFill="1" applyAlignment="1"/>
    <xf numFmtId="9" fontId="12" fillId="0" borderId="0" xfId="4" applyNumberFormat="1" applyFont="1" applyFill="1"/>
    <xf numFmtId="9" fontId="12" fillId="0" borderId="0" xfId="5" applyFont="1" applyFill="1" applyAlignment="1">
      <alignment horizontal="right"/>
    </xf>
    <xf numFmtId="9" fontId="12" fillId="0" borderId="0" xfId="3" applyNumberFormat="1" applyFont="1" applyAlignment="1">
      <alignment horizontal="right"/>
    </xf>
    <xf numFmtId="164" fontId="12" fillId="0" borderId="0" xfId="3" applyNumberFormat="1" applyFont="1" applyAlignment="1">
      <alignment horizontal="right"/>
    </xf>
    <xf numFmtId="0" fontId="12" fillId="0" borderId="0" xfId="3" applyFont="1" applyAlignment="1">
      <alignment horizontal="left"/>
    </xf>
    <xf numFmtId="0" fontId="12" fillId="0" borderId="0" xfId="3" applyFont="1"/>
    <xf numFmtId="0" fontId="12" fillId="0" borderId="0" xfId="3" applyFont="1" applyAlignment="1">
      <alignment horizontal="center"/>
    </xf>
    <xf numFmtId="8" fontId="12" fillId="0" borderId="0" xfId="4" applyNumberFormat="1" applyFont="1" applyFill="1" applyAlignment="1">
      <alignment horizontal="center"/>
    </xf>
    <xf numFmtId="4" fontId="13" fillId="0" borderId="0" xfId="3" applyNumberFormat="1" applyFont="1"/>
    <xf numFmtId="166" fontId="12" fillId="0" borderId="0" xfId="4" applyNumberFormat="1" applyFont="1" applyFill="1" applyAlignment="1">
      <alignment horizontal="right"/>
    </xf>
    <xf numFmtId="3" fontId="13" fillId="0" borderId="0" xfId="3" applyNumberFormat="1" applyFont="1"/>
    <xf numFmtId="166" fontId="13" fillId="0" borderId="0" xfId="4" applyNumberFormat="1" applyFont="1" applyFill="1" applyAlignment="1">
      <alignment horizontal="right"/>
    </xf>
    <xf numFmtId="9" fontId="13" fillId="0" borderId="0" xfId="5" applyFont="1" applyFill="1" applyAlignment="1">
      <alignment horizontal="right"/>
    </xf>
    <xf numFmtId="9" fontId="13" fillId="0" borderId="0" xfId="4" applyNumberFormat="1" applyFont="1" applyFill="1" applyAlignment="1">
      <alignment horizontal="right"/>
    </xf>
    <xf numFmtId="9" fontId="13" fillId="0" borderId="0" xfId="4" applyNumberFormat="1" applyFont="1" applyFill="1"/>
    <xf numFmtId="9" fontId="13" fillId="0" borderId="0" xfId="3" applyNumberFormat="1" applyFont="1" applyAlignment="1">
      <alignment horizontal="right"/>
    </xf>
    <xf numFmtId="165" fontId="12" fillId="0" borderId="0" xfId="3" applyNumberFormat="1" applyFont="1" applyAlignment="1">
      <alignment horizontal="right"/>
    </xf>
    <xf numFmtId="165" fontId="14" fillId="0" borderId="0" xfId="3" applyNumberFormat="1" applyFont="1" applyAlignment="1">
      <alignment horizontal="right"/>
    </xf>
    <xf numFmtId="9" fontId="12" fillId="0" borderId="0" xfId="4" applyNumberFormat="1" applyFont="1" applyFill="1" applyAlignment="1">
      <alignment horizontal="right"/>
    </xf>
    <xf numFmtId="0" fontId="10" fillId="3" borderId="0" xfId="3" applyFont="1" applyFill="1" applyAlignment="1">
      <alignment horizontal="left"/>
    </xf>
    <xf numFmtId="0" fontId="11" fillId="3" borderId="0" xfId="3" applyFont="1" applyFill="1"/>
    <xf numFmtId="0" fontId="10" fillId="3" borderId="0" xfId="3" applyFont="1" applyFill="1" applyAlignment="1">
      <alignment horizontal="center"/>
    </xf>
    <xf numFmtId="8" fontId="10" fillId="3" borderId="0" xfId="4" applyNumberFormat="1" applyFont="1" applyFill="1" applyAlignment="1">
      <alignment horizontal="right"/>
    </xf>
    <xf numFmtId="4" fontId="11" fillId="3" borderId="0" xfId="3" applyNumberFormat="1" applyFont="1" applyFill="1"/>
    <xf numFmtId="3" fontId="12" fillId="3" borderId="0" xfId="3" applyNumberFormat="1" applyFont="1" applyFill="1"/>
    <xf numFmtId="164" fontId="2" fillId="3" borderId="0" xfId="3" applyNumberFormat="1" applyFont="1" applyFill="1" applyAlignment="1">
      <alignment horizontal="right"/>
    </xf>
    <xf numFmtId="167" fontId="2" fillId="3" borderId="3" xfId="3" applyNumberFormat="1" applyFont="1" applyFill="1" applyBorder="1" applyAlignment="1">
      <alignment horizontal="right"/>
    </xf>
    <xf numFmtId="164" fontId="2" fillId="3" borderId="3" xfId="3" applyNumberFormat="1" applyFont="1" applyFill="1" applyBorder="1" applyAlignment="1">
      <alignment horizontal="right"/>
    </xf>
    <xf numFmtId="165" fontId="2" fillId="3" borderId="3" xfId="3" applyNumberFormat="1" applyFont="1" applyFill="1" applyBorder="1" applyAlignment="1">
      <alignment horizontal="right"/>
    </xf>
    <xf numFmtId="167" fontId="2" fillId="3" borderId="4" xfId="3" applyNumberFormat="1" applyFont="1" applyFill="1" applyBorder="1" applyAlignment="1">
      <alignment horizontal="right"/>
    </xf>
    <xf numFmtId="164" fontId="2" fillId="3" borderId="4" xfId="3" applyNumberFormat="1" applyFont="1" applyFill="1" applyBorder="1" applyAlignment="1">
      <alignment horizontal="right"/>
    </xf>
    <xf numFmtId="165" fontId="2" fillId="3" borderId="4" xfId="3" applyNumberFormat="1" applyFont="1" applyFill="1" applyBorder="1" applyAlignment="1">
      <alignment horizontal="right"/>
    </xf>
    <xf numFmtId="168" fontId="0" fillId="0" borderId="0" xfId="0" applyNumberFormat="1"/>
    <xf numFmtId="0" fontId="0" fillId="4" borderId="0" xfId="0" applyFill="1"/>
    <xf numFmtId="0" fontId="15" fillId="0" borderId="0" xfId="0" applyFont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5" xfId="0" applyFont="1" applyBorder="1"/>
    <xf numFmtId="9" fontId="3" fillId="0" borderId="5" xfId="1" applyNumberFormat="1" applyFont="1" applyFill="1" applyBorder="1" applyAlignment="1">
      <alignment horizontal="right"/>
    </xf>
    <xf numFmtId="9" fontId="3" fillId="0" borderId="5" xfId="0" applyNumberFormat="1" applyFont="1" applyBorder="1" applyAlignment="1">
      <alignment horizontal="right"/>
    </xf>
    <xf numFmtId="164" fontId="3" fillId="0" borderId="5" xfId="0" applyNumberFormat="1" applyFont="1" applyBorder="1" applyAlignment="1">
      <alignment horizontal="right"/>
    </xf>
    <xf numFmtId="9" fontId="3" fillId="0" borderId="0" xfId="1" applyNumberFormat="1" applyFont="1" applyFill="1" applyBorder="1" applyAlignment="1">
      <alignment horizontal="right"/>
    </xf>
    <xf numFmtId="2" fontId="3" fillId="0" borderId="0" xfId="0" applyNumberFormat="1" applyFont="1" applyAlignment="1">
      <alignment horizontal="left"/>
    </xf>
    <xf numFmtId="166" fontId="3" fillId="0" borderId="0" xfId="1" applyNumberFormat="1" applyFont="1" applyAlignment="1">
      <alignment horizontal="center"/>
    </xf>
    <xf numFmtId="166" fontId="3" fillId="0" borderId="0" xfId="1" applyNumberFormat="1" applyFont="1" applyFill="1" applyAlignment="1">
      <alignment horizontal="center"/>
    </xf>
    <xf numFmtId="166" fontId="3" fillId="0" borderId="5" xfId="1" applyNumberFormat="1" applyFont="1" applyBorder="1" applyAlignment="1">
      <alignment horizontal="center"/>
    </xf>
    <xf numFmtId="166" fontId="3" fillId="0" borderId="5" xfId="1" applyNumberFormat="1" applyFont="1" applyFill="1" applyBorder="1" applyAlignment="1">
      <alignment horizontal="center"/>
    </xf>
    <xf numFmtId="166" fontId="3" fillId="0" borderId="0" xfId="1" applyNumberFormat="1" applyFont="1" applyBorder="1" applyAlignment="1">
      <alignment horizontal="center"/>
    </xf>
    <xf numFmtId="166" fontId="3" fillId="0" borderId="0" xfId="1" applyNumberFormat="1" applyFont="1" applyFill="1" applyBorder="1" applyAlignment="1">
      <alignment horizontal="center"/>
    </xf>
    <xf numFmtId="3" fontId="3" fillId="0" borderId="0" xfId="0" applyNumberFormat="1" applyFont="1"/>
    <xf numFmtId="3" fontId="3" fillId="0" borderId="5" xfId="0" applyNumberFormat="1" applyFont="1" applyBorder="1"/>
    <xf numFmtId="0" fontId="16" fillId="0" borderId="0" xfId="0" applyFont="1" applyAlignment="1">
      <alignment horizontal="center"/>
    </xf>
    <xf numFmtId="9" fontId="16" fillId="0" borderId="0" xfId="2" applyFont="1" applyAlignment="1">
      <alignment horizontal="center"/>
    </xf>
    <xf numFmtId="0" fontId="17" fillId="5" borderId="0" xfId="0" applyFont="1" applyFill="1"/>
    <xf numFmtId="0" fontId="17" fillId="5" borderId="0" xfId="0" applyFont="1" applyFill="1" applyAlignment="1">
      <alignment horizontal="center"/>
    </xf>
    <xf numFmtId="0" fontId="18" fillId="5" borderId="0" xfId="0" applyFont="1" applyFill="1" applyAlignment="1">
      <alignment horizontal="right"/>
    </xf>
    <xf numFmtId="0" fontId="19" fillId="0" borderId="4" xfId="3" applyFont="1" applyBorder="1" applyAlignment="1">
      <alignment horizontal="center" vertical="center" wrapText="1"/>
    </xf>
    <xf numFmtId="9" fontId="3" fillId="0" borderId="0" xfId="2" applyFont="1" applyAlignment="1">
      <alignment horizontal="right"/>
    </xf>
    <xf numFmtId="9" fontId="3" fillId="0" borderId="5" xfId="2" applyFont="1" applyBorder="1" applyAlignment="1">
      <alignment horizontal="right"/>
    </xf>
    <xf numFmtId="9" fontId="0" fillId="0" borderId="0" xfId="2" applyFont="1"/>
    <xf numFmtId="164" fontId="3" fillId="0" borderId="0" xfId="1" applyNumberFormat="1" applyFont="1" applyAlignment="1">
      <alignment horizontal="right"/>
    </xf>
    <xf numFmtId="164" fontId="0" fillId="0" borderId="0" xfId="0" applyNumberFormat="1"/>
    <xf numFmtId="43" fontId="0" fillId="0" borderId="0" xfId="1" applyFont="1"/>
    <xf numFmtId="43" fontId="5" fillId="0" borderId="0" xfId="1" applyFont="1"/>
    <xf numFmtId="43" fontId="5" fillId="0" borderId="6" xfId="1" applyFont="1" applyBorder="1"/>
    <xf numFmtId="9" fontId="21" fillId="0" borderId="0" xfId="1" applyNumberFormat="1" applyFont="1" applyFill="1" applyAlignment="1">
      <alignment horizontal="right"/>
    </xf>
    <xf numFmtId="9" fontId="21" fillId="0" borderId="0" xfId="0" applyNumberFormat="1" applyFont="1" applyAlignment="1">
      <alignment horizontal="right"/>
    </xf>
    <xf numFmtId="165" fontId="3" fillId="0" borderId="5" xfId="1" applyNumberFormat="1" applyFont="1" applyBorder="1" applyAlignment="1">
      <alignment horizontal="right"/>
    </xf>
    <xf numFmtId="165" fontId="3" fillId="0" borderId="0" xfId="1" applyNumberFormat="1" applyFont="1" applyBorder="1" applyAlignment="1">
      <alignment horizontal="right"/>
    </xf>
    <xf numFmtId="165" fontId="3" fillId="0" borderId="0" xfId="1" applyNumberFormat="1" applyFont="1" applyAlignment="1">
      <alignment horizontal="right"/>
    </xf>
    <xf numFmtId="0" fontId="11" fillId="0" borderId="0" xfId="3" applyFont="1" applyAlignment="1">
      <alignment horizontal="left"/>
    </xf>
    <xf numFmtId="0" fontId="11" fillId="0" borderId="0" xfId="3" applyFont="1" applyAlignment="1">
      <alignment horizontal="center"/>
    </xf>
    <xf numFmtId="8" fontId="11" fillId="0" borderId="0" xfId="4" applyNumberFormat="1" applyFont="1" applyFill="1" applyAlignment="1">
      <alignment horizontal="center"/>
    </xf>
    <xf numFmtId="166" fontId="11" fillId="0" borderId="0" xfId="4" applyNumberFormat="1" applyFont="1" applyFill="1" applyAlignment="1">
      <alignment horizontal="right"/>
    </xf>
    <xf numFmtId="3" fontId="11" fillId="0" borderId="0" xfId="3" applyNumberFormat="1" applyFont="1"/>
    <xf numFmtId="9" fontId="11" fillId="0" borderId="0" xfId="5" applyFont="1" applyFill="1" applyAlignment="1">
      <alignment horizontal="right"/>
    </xf>
    <xf numFmtId="9" fontId="11" fillId="0" borderId="0" xfId="4" applyNumberFormat="1" applyFont="1" applyFill="1" applyAlignment="1">
      <alignment horizontal="right"/>
    </xf>
    <xf numFmtId="9" fontId="11" fillId="0" borderId="0" xfId="4" applyNumberFormat="1" applyFont="1" applyFill="1"/>
    <xf numFmtId="9" fontId="11" fillId="0" borderId="0" xfId="3" applyNumberFormat="1" applyFont="1" applyAlignment="1">
      <alignment horizontal="right"/>
    </xf>
    <xf numFmtId="164" fontId="11" fillId="0" borderId="0" xfId="3" applyNumberFormat="1" applyFont="1" applyAlignment="1">
      <alignment horizontal="right"/>
    </xf>
    <xf numFmtId="165" fontId="11" fillId="0" borderId="0" xfId="3" applyNumberFormat="1" applyFont="1" applyAlignment="1">
      <alignment horizontal="right"/>
    </xf>
    <xf numFmtId="0" fontId="22" fillId="0" borderId="0" xfId="3" applyFont="1" applyAlignment="1">
      <alignment horizontal="center"/>
    </xf>
    <xf numFmtId="0" fontId="23" fillId="0" borderId="0" xfId="3" applyFont="1"/>
    <xf numFmtId="6" fontId="13" fillId="0" borderId="0" xfId="4" applyNumberFormat="1" applyFont="1" applyFill="1" applyAlignment="1">
      <alignment horizontal="center"/>
    </xf>
    <xf numFmtId="0" fontId="0" fillId="0" borderId="0" xfId="0" applyAlignment="1">
      <alignment horizontal="right"/>
    </xf>
    <xf numFmtId="169" fontId="0" fillId="0" borderId="0" xfId="0" applyNumberFormat="1"/>
    <xf numFmtId="169" fontId="16" fillId="0" borderId="0" xfId="0" applyNumberFormat="1" applyFont="1"/>
    <xf numFmtId="170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70" fontId="16" fillId="0" borderId="0" xfId="0" applyNumberFormat="1" applyFont="1" applyAlignment="1">
      <alignment horizontal="right"/>
    </xf>
    <xf numFmtId="169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24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  <xf numFmtId="6" fontId="3" fillId="0" borderId="0" xfId="1" applyNumberFormat="1" applyFont="1" applyFill="1" applyAlignment="1">
      <alignment horizontal="right"/>
    </xf>
    <xf numFmtId="4" fontId="3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8" fontId="3" fillId="0" borderId="0" xfId="1" applyNumberFormat="1" applyFont="1" applyFill="1" applyAlignment="1">
      <alignment horizontal="right"/>
    </xf>
    <xf numFmtId="6" fontId="26" fillId="0" borderId="0" xfId="1" applyNumberFormat="1" applyFont="1" applyFill="1" applyAlignment="1">
      <alignment horizontal="right"/>
    </xf>
    <xf numFmtId="1" fontId="20" fillId="0" borderId="0" xfId="0" applyNumberFormat="1" applyFont="1" applyAlignment="1">
      <alignment horizontal="right"/>
    </xf>
    <xf numFmtId="0" fontId="27" fillId="0" borderId="0" xfId="3" applyFont="1" applyAlignment="1">
      <alignment horizontal="center"/>
    </xf>
    <xf numFmtId="0" fontId="4" fillId="0" borderId="0" xfId="0" applyFont="1" applyAlignment="1">
      <alignment horizontal="right"/>
    </xf>
    <xf numFmtId="164" fontId="3" fillId="0" borderId="6" xfId="0" applyNumberFormat="1" applyFont="1" applyBorder="1" applyAlignment="1">
      <alignment horizontal="right"/>
    </xf>
    <xf numFmtId="0" fontId="20" fillId="0" borderId="0" xfId="0" applyFont="1" applyAlignment="1">
      <alignment horizontal="right"/>
    </xf>
    <xf numFmtId="0" fontId="2" fillId="0" borderId="2" xfId="3" applyFont="1" applyBorder="1" applyAlignment="1">
      <alignment horizontal="left"/>
    </xf>
    <xf numFmtId="0" fontId="2" fillId="0" borderId="3" xfId="3" applyFont="1" applyBorder="1" applyAlignment="1">
      <alignment horizontal="center"/>
    </xf>
  </cellXfs>
  <cellStyles count="6">
    <cellStyle name="Comma" xfId="1" builtinId="3"/>
    <cellStyle name="Comma 2" xfId="4" xr:uid="{85514324-F138-CA47-8CB9-94DFABD18167}"/>
    <cellStyle name="Normal" xfId="0" builtinId="0"/>
    <cellStyle name="Normal 2" xfId="3" xr:uid="{9F52D8E9-EA4A-2248-B488-A87613059000}"/>
    <cellStyle name="Percent" xfId="2" builtinId="5"/>
    <cellStyle name="Percent 2" xfId="5" xr:uid="{68B84C38-A272-1446-AA87-92680D180267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BDP|1650984491562536224</stp>
        <tr r="B18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volatileDependencies" Target="volatileDependencies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lient/Client/G$/Client/G$/Client/naeast.ad.jpmorganchase.com/amerib$/Enterprise%20Software%20-%20SMID%20Cap%20(Horizontal%20Apps%20and%20Infrastructure)/Comps/Treasury%20Method%20Calculation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CIQHiddenCacheSheet"/>
      <sheetName val="BASE"/>
      <sheetName val="DT"/>
      <sheetName val="MDLA"/>
      <sheetName val="WORK"/>
      <sheetName val="CRWD"/>
      <sheetName val="ZM"/>
      <sheetName val="PD"/>
      <sheetName val="TUFN"/>
      <sheetName val="PLAN"/>
      <sheetName val="AVLR"/>
      <sheetName val="APPN"/>
      <sheetName val="CBLK"/>
      <sheetName val="DOMO"/>
      <sheetName val="DOCU"/>
      <sheetName val="FSCT"/>
      <sheetName val="MDB"/>
      <sheetName val="NEWR"/>
      <sheetName val="OKTA"/>
      <sheetName val="PVTL"/>
      <sheetName val="PS"/>
      <sheetName val="SAIL"/>
      <sheetName val="TENB"/>
      <sheetName val="ZUO"/>
      <sheetName val="ZS"/>
    </sheetNames>
    <sheetDataSet>
      <sheetData sheetId="0" refreshError="1"/>
      <sheetData sheetId="1">
        <row r="6">
          <cell r="B6">
            <v>8.60398</v>
          </cell>
          <cell r="C6">
            <v>9.9</v>
          </cell>
          <cell r="H6">
            <v>0.10535</v>
          </cell>
          <cell r="I6">
            <v>7.48</v>
          </cell>
        </row>
      </sheetData>
      <sheetData sheetId="2"/>
      <sheetData sheetId="3" refreshError="1"/>
      <sheetData sheetId="4" refreshError="1"/>
      <sheetData sheetId="5">
        <row r="6">
          <cell r="B6">
            <v>3.9380000000000002</v>
          </cell>
          <cell r="C6">
            <v>8.48</v>
          </cell>
        </row>
      </sheetData>
      <sheetData sheetId="6">
        <row r="6">
          <cell r="B6">
            <v>5.5941099999999997</v>
          </cell>
          <cell r="C6">
            <v>8.1300000000000008</v>
          </cell>
        </row>
      </sheetData>
      <sheetData sheetId="7">
        <row r="6">
          <cell r="B6">
            <v>7.6162400000000003</v>
          </cell>
          <cell r="C6">
            <v>9.76</v>
          </cell>
        </row>
      </sheetData>
      <sheetData sheetId="8" refreshError="1"/>
      <sheetData sheetId="9">
        <row r="6">
          <cell r="B6">
            <v>4.4249999999999998</v>
          </cell>
          <cell r="C6">
            <v>12.2</v>
          </cell>
        </row>
      </sheetData>
      <sheetData sheetId="10">
        <row r="6">
          <cell r="B6">
            <v>2.1668799999999999</v>
          </cell>
          <cell r="C6">
            <v>33.979999999999997</v>
          </cell>
        </row>
      </sheetData>
      <sheetData sheetId="11">
        <row r="6">
          <cell r="B6">
            <v>2.1289400000000001</v>
          </cell>
          <cell r="C6">
            <v>9.52</v>
          </cell>
        </row>
      </sheetData>
      <sheetData sheetId="12">
        <row r="6">
          <cell r="B6">
            <v>13.25301</v>
          </cell>
          <cell r="C6">
            <v>7.06</v>
          </cell>
        </row>
      </sheetData>
      <sheetData sheetId="13">
        <row r="6">
          <cell r="B6">
            <v>0.96328999999999998</v>
          </cell>
          <cell r="C6">
            <v>26.16</v>
          </cell>
          <cell r="H6">
            <v>3.3300000000000001E-3</v>
          </cell>
          <cell r="I6">
            <v>34.35</v>
          </cell>
        </row>
      </sheetData>
      <sheetData sheetId="14">
        <row r="6">
          <cell r="B6">
            <v>2.9260000000000002</v>
          </cell>
          <cell r="C6">
            <v>16.739999999999998</v>
          </cell>
        </row>
      </sheetData>
      <sheetData sheetId="15" refreshError="1"/>
      <sheetData sheetId="16">
        <row r="6">
          <cell r="B6">
            <v>2.3563800000000001</v>
          </cell>
          <cell r="C6">
            <v>7.67</v>
          </cell>
        </row>
      </sheetData>
      <sheetData sheetId="17"/>
      <sheetData sheetId="18">
        <row r="6">
          <cell r="B6">
            <v>7.56935</v>
          </cell>
          <cell r="C6">
            <v>39.56</v>
          </cell>
          <cell r="H6">
            <v>1</v>
          </cell>
          <cell r="I6">
            <v>68.06</v>
          </cell>
        </row>
      </sheetData>
      <sheetData sheetId="19" refreshError="1"/>
      <sheetData sheetId="20" refreshError="1"/>
      <sheetData sheetId="21">
        <row r="6">
          <cell r="B6">
            <v>2.1480000000000001</v>
          </cell>
          <cell r="C6">
            <v>28.36</v>
          </cell>
        </row>
      </sheetData>
      <sheetData sheetId="22">
        <row r="6">
          <cell r="B6">
            <v>6.3810000000000002</v>
          </cell>
          <cell r="C6">
            <v>9.17</v>
          </cell>
        </row>
      </sheetData>
      <sheetData sheetId="23">
        <row r="6">
          <cell r="B6">
            <v>8.3610000000000007</v>
          </cell>
          <cell r="C6">
            <v>9.2200000000000006</v>
          </cell>
        </row>
      </sheetData>
      <sheetData sheetId="24">
        <row r="6">
          <cell r="B6">
            <v>2.597</v>
          </cell>
          <cell r="C6">
            <v>10.37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9F2FC-467A-A242-A2D5-282AB9F22E7F}">
  <sheetPr>
    <pageSetUpPr fitToPage="1"/>
  </sheetPr>
  <dimension ref="A1:AM29"/>
  <sheetViews>
    <sheetView showOutlineSymbols="0" showWhiteSpace="0" workbookViewId="0"/>
  </sheetViews>
  <sheetFormatPr defaultColWidth="9.140625" defaultRowHeight="12.75" x14ac:dyDescent="0.2"/>
  <cols>
    <col min="1" max="1" width="7.7109375" style="29" customWidth="1"/>
    <col min="2" max="2" width="28.7109375" style="29" bestFit="1" customWidth="1"/>
    <col min="3" max="3" width="9.42578125" style="28" customWidth="1"/>
    <col min="4" max="4" width="9.42578125" style="29" customWidth="1"/>
    <col min="5" max="5" width="8.140625" style="29" bestFit="1" customWidth="1"/>
    <col min="6" max="6" width="8.140625" style="29" customWidth="1"/>
    <col min="7" max="15" width="8.42578125" style="29" customWidth="1"/>
    <col min="16" max="16" width="8.42578125" style="29" customWidth="1" collapsed="1"/>
    <col min="17" max="23" width="8.42578125" style="29" customWidth="1"/>
    <col min="24" max="29" width="9.42578125" style="29" customWidth="1"/>
    <col min="30" max="30" width="8.42578125" style="29" customWidth="1" collapsed="1"/>
    <col min="31" max="37" width="8.42578125" style="29" customWidth="1"/>
    <col min="38" max="38" width="1.42578125" style="29" customWidth="1"/>
    <col min="39" max="39" width="14.7109375" style="10" bestFit="1" customWidth="1"/>
    <col min="40" max="16384" width="9.140625" style="10"/>
  </cols>
  <sheetData>
    <row r="1" spans="1:39" ht="11.25" customHeight="1" x14ac:dyDescent="0.2">
      <c r="A1" s="9"/>
      <c r="B1" s="9"/>
      <c r="C1" s="126">
        <f>COLUMN()</f>
        <v>3</v>
      </c>
      <c r="D1" s="126">
        <f>COLUMN()</f>
        <v>4</v>
      </c>
      <c r="E1" s="126">
        <f>COLUMN()</f>
        <v>5</v>
      </c>
      <c r="F1" s="126">
        <f>COLUMN()</f>
        <v>6</v>
      </c>
      <c r="G1" s="126">
        <f>COLUMN()</f>
        <v>7</v>
      </c>
      <c r="H1" s="126">
        <f>COLUMN()</f>
        <v>8</v>
      </c>
      <c r="I1" s="126">
        <f>COLUMN()</f>
        <v>9</v>
      </c>
      <c r="J1" s="126">
        <f>COLUMN()</f>
        <v>10</v>
      </c>
      <c r="K1" s="126">
        <f>COLUMN()</f>
        <v>11</v>
      </c>
      <c r="L1" s="126">
        <f>COLUMN()</f>
        <v>12</v>
      </c>
      <c r="M1" s="126">
        <f>COLUMN()</f>
        <v>13</v>
      </c>
      <c r="N1" s="126">
        <f>COLUMN()</f>
        <v>14</v>
      </c>
      <c r="O1" s="126">
        <f>COLUMN()</f>
        <v>15</v>
      </c>
      <c r="P1" s="126">
        <f>COLUMN()</f>
        <v>16</v>
      </c>
      <c r="Q1" s="126">
        <f>COLUMN()</f>
        <v>17</v>
      </c>
      <c r="R1" s="126">
        <f>COLUMN()</f>
        <v>18</v>
      </c>
      <c r="S1" s="126">
        <f>COLUMN()</f>
        <v>19</v>
      </c>
      <c r="T1" s="126">
        <f>COLUMN()</f>
        <v>20</v>
      </c>
      <c r="U1" s="126">
        <f>COLUMN()</f>
        <v>21</v>
      </c>
      <c r="V1" s="126">
        <f>COLUMN()</f>
        <v>22</v>
      </c>
      <c r="W1" s="126">
        <f>COLUMN()</f>
        <v>23</v>
      </c>
      <c r="X1" s="126">
        <f>COLUMN()</f>
        <v>24</v>
      </c>
      <c r="Y1" s="126">
        <f>COLUMN()</f>
        <v>25</v>
      </c>
      <c r="Z1" s="126">
        <f>COLUMN()</f>
        <v>26</v>
      </c>
      <c r="AA1" s="126">
        <f>COLUMN()</f>
        <v>27</v>
      </c>
      <c r="AB1" s="126">
        <f>COLUMN()</f>
        <v>28</v>
      </c>
      <c r="AC1" s="126">
        <f>COLUMN()</f>
        <v>29</v>
      </c>
      <c r="AD1" s="126">
        <f>COLUMN()</f>
        <v>30</v>
      </c>
      <c r="AE1" s="126">
        <f>COLUMN()</f>
        <v>31</v>
      </c>
      <c r="AF1" s="126">
        <f>COLUMN()</f>
        <v>32</v>
      </c>
      <c r="AG1" s="126">
        <f>COLUMN()</f>
        <v>33</v>
      </c>
      <c r="AH1" s="126">
        <f>COLUMN()</f>
        <v>34</v>
      </c>
      <c r="AI1" s="126">
        <f>COLUMN()</f>
        <v>35</v>
      </c>
      <c r="AJ1" s="126">
        <f>COLUMN()</f>
        <v>36</v>
      </c>
      <c r="AK1" s="126">
        <f>COLUMN()</f>
        <v>37</v>
      </c>
      <c r="AL1" s="9"/>
    </row>
    <row r="2" spans="1:39" ht="21.75" customHeight="1" x14ac:dyDescent="0.2">
      <c r="A2" s="11" t="s">
        <v>307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0"/>
    </row>
    <row r="3" spans="1:39" ht="11.2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10"/>
      <c r="AM3" s="9"/>
    </row>
    <row r="4" spans="1:39" x14ac:dyDescent="0.2">
      <c r="A4" s="130" t="s">
        <v>308</v>
      </c>
      <c r="B4" s="130"/>
      <c r="C4" s="130"/>
      <c r="D4" s="130"/>
      <c r="E4" s="130"/>
      <c r="F4" s="130"/>
      <c r="G4" s="130"/>
      <c r="H4" s="130"/>
      <c r="I4" s="130"/>
      <c r="J4" s="131" t="s">
        <v>309</v>
      </c>
      <c r="K4" s="131"/>
      <c r="L4" s="131"/>
      <c r="M4" s="131"/>
      <c r="N4" s="131"/>
      <c r="O4" s="131"/>
      <c r="P4" s="131"/>
      <c r="Q4" s="131"/>
      <c r="R4" s="131"/>
      <c r="S4" s="131"/>
      <c r="T4" s="131" t="s">
        <v>310</v>
      </c>
      <c r="U4" s="131"/>
      <c r="V4" s="131"/>
      <c r="W4" s="131"/>
      <c r="X4" s="131"/>
      <c r="Y4" s="131"/>
      <c r="Z4" s="131"/>
      <c r="AA4" s="131"/>
      <c r="AB4" s="131"/>
      <c r="AC4" s="131"/>
      <c r="AD4" s="131" t="s">
        <v>311</v>
      </c>
      <c r="AE4" s="131"/>
      <c r="AF4" s="131"/>
      <c r="AG4" s="131"/>
      <c r="AH4" s="131"/>
      <c r="AI4" s="131"/>
      <c r="AJ4" s="131"/>
      <c r="AK4" s="131"/>
      <c r="AL4" s="10"/>
    </row>
    <row r="5" spans="1:39" ht="56.25" x14ac:dyDescent="0.2">
      <c r="A5" s="14" t="s">
        <v>0</v>
      </c>
      <c r="B5" s="14" t="s">
        <v>133</v>
      </c>
      <c r="C5" s="15" t="s">
        <v>312</v>
      </c>
      <c r="D5" s="15" t="s">
        <v>313</v>
      </c>
      <c r="E5" s="79" t="s">
        <v>382</v>
      </c>
      <c r="F5" s="15" t="s">
        <v>314</v>
      </c>
      <c r="G5" s="15" t="s">
        <v>315</v>
      </c>
      <c r="H5" s="15" t="s">
        <v>316</v>
      </c>
      <c r="I5" s="15" t="s">
        <v>267</v>
      </c>
      <c r="J5" s="16" t="s">
        <v>268</v>
      </c>
      <c r="K5" s="16" t="s">
        <v>317</v>
      </c>
      <c r="L5" s="16" t="s">
        <v>318</v>
      </c>
      <c r="M5" s="16" t="s">
        <v>319</v>
      </c>
      <c r="N5" s="16" t="s">
        <v>320</v>
      </c>
      <c r="O5" s="16" t="s">
        <v>321</v>
      </c>
      <c r="P5" s="16" t="s">
        <v>269</v>
      </c>
      <c r="Q5" s="16" t="s">
        <v>270</v>
      </c>
      <c r="R5" s="16" t="s">
        <v>271</v>
      </c>
      <c r="S5" s="16" t="s">
        <v>272</v>
      </c>
      <c r="T5" s="16" t="s">
        <v>273</v>
      </c>
      <c r="U5" s="16" t="s">
        <v>274</v>
      </c>
      <c r="V5" s="16" t="s">
        <v>275</v>
      </c>
      <c r="W5" s="16" t="s">
        <v>276</v>
      </c>
      <c r="X5" s="16" t="s">
        <v>277</v>
      </c>
      <c r="Y5" s="16" t="s">
        <v>279</v>
      </c>
      <c r="Z5" s="16" t="s">
        <v>280</v>
      </c>
      <c r="AA5" s="16" t="s">
        <v>281</v>
      </c>
      <c r="AB5" s="16" t="s">
        <v>282</v>
      </c>
      <c r="AC5" s="16" t="s">
        <v>283</v>
      </c>
      <c r="AD5" s="16" t="s">
        <v>322</v>
      </c>
      <c r="AE5" s="16" t="s">
        <v>323</v>
      </c>
      <c r="AF5" s="16" t="s">
        <v>324</v>
      </c>
      <c r="AG5" s="16" t="s">
        <v>325</v>
      </c>
      <c r="AH5" s="16" t="s">
        <v>326</v>
      </c>
      <c r="AI5" s="16" t="s">
        <v>289</v>
      </c>
      <c r="AJ5" s="16" t="s">
        <v>290</v>
      </c>
      <c r="AK5" s="16" t="s">
        <v>327</v>
      </c>
      <c r="AL5" s="10"/>
    </row>
    <row r="6" spans="1:39" ht="8.25" customHeight="1" x14ac:dyDescent="0.2">
      <c r="A6" s="17"/>
      <c r="B6" s="18"/>
      <c r="C6" s="19"/>
      <c r="D6" s="20"/>
      <c r="E6" s="21"/>
      <c r="F6" s="21"/>
      <c r="G6" s="22"/>
      <c r="H6" s="22"/>
      <c r="I6" s="22"/>
      <c r="J6" s="23"/>
      <c r="K6" s="23"/>
      <c r="L6" s="23"/>
      <c r="M6" s="23"/>
      <c r="N6" s="23"/>
      <c r="O6" s="23"/>
      <c r="P6" s="24"/>
      <c r="Q6" s="25"/>
      <c r="R6" s="25"/>
      <c r="S6" s="24"/>
      <c r="T6" s="24"/>
      <c r="U6" s="24"/>
      <c r="V6" s="24"/>
      <c r="W6" s="24"/>
      <c r="X6" s="26"/>
      <c r="Y6" s="26"/>
      <c r="Z6" s="26"/>
      <c r="AA6" s="26"/>
      <c r="AB6" s="26"/>
      <c r="AC6" s="26"/>
      <c r="AD6" s="27"/>
      <c r="AE6" s="27"/>
      <c r="AF6" s="27"/>
      <c r="AG6" s="27"/>
      <c r="AH6" s="27"/>
      <c r="AI6" s="27"/>
      <c r="AJ6" s="27"/>
      <c r="AK6" s="27"/>
      <c r="AL6" s="10"/>
    </row>
    <row r="7" spans="1:39" x14ac:dyDescent="0.2">
      <c r="A7" s="28" t="s">
        <v>99</v>
      </c>
      <c r="B7" s="29" t="s">
        <v>232</v>
      </c>
      <c r="C7" s="30" t="s">
        <v>328</v>
      </c>
      <c r="D7" s="31"/>
      <c r="E7" s="32">
        <v>78.209999999999994</v>
      </c>
      <c r="F7" s="32">
        <v>288.43799999999999</v>
      </c>
      <c r="G7" s="33">
        <f t="shared" ref="G7:G26" si="0">F7*E7</f>
        <v>22558.735979999998</v>
      </c>
      <c r="H7" s="34">
        <v>539.86800000000221</v>
      </c>
      <c r="I7" s="22">
        <f>G7-H7</f>
        <v>22018.867979999995</v>
      </c>
      <c r="J7" s="35">
        <v>2766.1336558572389</v>
      </c>
      <c r="K7" s="35">
        <v>2684.3283032355253</v>
      </c>
      <c r="L7" s="35">
        <v>3101.1174714485496</v>
      </c>
      <c r="M7" s="35">
        <v>683.18485684211623</v>
      </c>
      <c r="N7" s="35">
        <v>702.32059389885194</v>
      </c>
      <c r="O7" s="35">
        <v>828.03204448771567</v>
      </c>
      <c r="P7" s="36">
        <v>0.21809191024387276</v>
      </c>
      <c r="Q7" s="36">
        <v>0.13710433717224069</v>
      </c>
      <c r="R7" s="37">
        <v>0.15793346373684014</v>
      </c>
      <c r="S7" s="37">
        <v>0.15526758322022394</v>
      </c>
      <c r="T7" s="38">
        <v>0.8657431401234057</v>
      </c>
      <c r="U7" s="37">
        <v>0.86072585052461126</v>
      </c>
      <c r="V7" s="37">
        <v>0.19204432380938385</v>
      </c>
      <c r="W7" s="37">
        <v>0.21794599496323516</v>
      </c>
      <c r="X7" s="26">
        <f t="shared" ref="X7:X16" si="1">M7/J7</f>
        <v>0.24698186777615913</v>
      </c>
      <c r="Y7" s="39">
        <v>9.6462206834118089E-2</v>
      </c>
      <c r="Z7" s="26">
        <f t="shared" ref="Z7:Z16" si="2">N7/K7</f>
        <v>0.26163736866772874</v>
      </c>
      <c r="AA7" s="26">
        <f t="shared" ref="AA7:AA16" si="3">O7/L7</f>
        <v>0.26701086047570366</v>
      </c>
      <c r="AB7" s="26">
        <f t="shared" ref="AB7:AB9" si="4">X7+Q7</f>
        <v>0.38408620494839985</v>
      </c>
      <c r="AC7" s="26">
        <f t="shared" ref="AC7:AC9" si="5">Y7+Q7</f>
        <v>0.23356654400635879</v>
      </c>
      <c r="AD7" s="27">
        <f t="shared" ref="AD7:AD26" si="6">I7/J7</f>
        <v>7.9601605415470198</v>
      </c>
      <c r="AE7" s="27">
        <f t="shared" ref="AE7:AE26" si="7">I7/K7</f>
        <v>8.202747761315111</v>
      </c>
      <c r="AF7" s="27">
        <f t="shared" ref="AF7:AF26" si="8">I7/L7</f>
        <v>7.100301160057267</v>
      </c>
      <c r="AG7" s="40">
        <f>AD7/(Q7*100)</f>
        <v>0.5805914463192271</v>
      </c>
      <c r="AH7" s="27">
        <f t="shared" ref="AH7:AH26" si="9">IFERROR(I7/M7,"-")</f>
        <v>32.22973659249088</v>
      </c>
      <c r="AI7" s="27">
        <f t="shared" ref="AI7:AI26" si="10">IFERROR(I7/N7,"-")</f>
        <v>31.351590956154062</v>
      </c>
      <c r="AJ7" s="27">
        <f t="shared" ref="AJ7:AJ26" si="11">IFERROR(I7/O7,"-")</f>
        <v>26.591806593212901</v>
      </c>
      <c r="AK7" s="27">
        <f t="shared" ref="AK7:AK26" si="12">IFERROR(IF(AH7/(Q7*100)&lt;0,"-",AH7/(Q7*100)),"-")</f>
        <v>2.3507452249305203</v>
      </c>
      <c r="AL7" s="13"/>
    </row>
    <row r="8" spans="1:39" x14ac:dyDescent="0.2">
      <c r="A8" s="28" t="s">
        <v>101</v>
      </c>
      <c r="B8" s="29" t="s">
        <v>234</v>
      </c>
      <c r="C8" s="30" t="s">
        <v>328</v>
      </c>
      <c r="D8" s="31"/>
      <c r="E8" s="32">
        <v>86.76</v>
      </c>
      <c r="F8" s="32">
        <v>353.4</v>
      </c>
      <c r="G8" s="33">
        <f t="shared" si="0"/>
        <v>30660.984</v>
      </c>
      <c r="H8" s="34">
        <v>1479.0839999999989</v>
      </c>
      <c r="I8" s="22">
        <f t="shared" ref="I8:I26" si="13">G8-H8</f>
        <v>29181.9</v>
      </c>
      <c r="J8" s="35">
        <v>3612.3719999999998</v>
      </c>
      <c r="K8" s="35">
        <v>3517.2440000000001</v>
      </c>
      <c r="L8" s="35">
        <v>3944.1860000000006</v>
      </c>
      <c r="M8" s="35">
        <v>674.14700000000005</v>
      </c>
      <c r="N8" s="35">
        <v>614.29600000000005</v>
      </c>
      <c r="O8" s="35">
        <v>742.72900000000004</v>
      </c>
      <c r="P8" s="36">
        <v>0.123</v>
      </c>
      <c r="Q8" s="36">
        <v>0.11041599424561266</v>
      </c>
      <c r="R8" s="37">
        <v>0.11018368998574557</v>
      </c>
      <c r="S8" s="37">
        <v>0.12138538014422662</v>
      </c>
      <c r="T8" s="38">
        <v>0.7025392608530997</v>
      </c>
      <c r="U8" s="37">
        <v>0.70866231967762172</v>
      </c>
      <c r="V8" s="37">
        <v>0.16994925572408398</v>
      </c>
      <c r="W8" s="37">
        <v>0.18295688894996331</v>
      </c>
      <c r="X8" s="26">
        <f t="shared" si="1"/>
        <v>0.18662169898338268</v>
      </c>
      <c r="Y8" s="39">
        <v>5.4633908135706954E-2</v>
      </c>
      <c r="Z8" s="26">
        <f t="shared" si="2"/>
        <v>0.17465265418037532</v>
      </c>
      <c r="AA8" s="26">
        <f t="shared" si="3"/>
        <v>0.18830983123006875</v>
      </c>
      <c r="AB8" s="26">
        <f t="shared" si="4"/>
        <v>0.29703769322899531</v>
      </c>
      <c r="AC8" s="26">
        <f t="shared" si="5"/>
        <v>0.16504990238131961</v>
      </c>
      <c r="AD8" s="27">
        <f t="shared" si="6"/>
        <v>8.0783208373888407</v>
      </c>
      <c r="AE8" s="27">
        <f t="shared" si="7"/>
        <v>8.2968085239465896</v>
      </c>
      <c r="AF8" s="27">
        <f t="shared" si="8"/>
        <v>7.3987129410225574</v>
      </c>
      <c r="AG8" s="40">
        <f>AD8/(Q8*100)</f>
        <v>0.73162596529441026</v>
      </c>
      <c r="AH8" s="27">
        <f t="shared" si="9"/>
        <v>43.287146571890105</v>
      </c>
      <c r="AI8" s="27">
        <f t="shared" si="10"/>
        <v>47.504623178402596</v>
      </c>
      <c r="AJ8" s="27">
        <f t="shared" si="11"/>
        <v>39.290104466097326</v>
      </c>
      <c r="AK8" s="27">
        <f t="shared" si="12"/>
        <v>3.9203692243716861</v>
      </c>
      <c r="AL8" s="13"/>
    </row>
    <row r="9" spans="1:39" x14ac:dyDescent="0.2">
      <c r="A9" s="28" t="s">
        <v>105</v>
      </c>
      <c r="B9" s="29" t="s">
        <v>238</v>
      </c>
      <c r="C9" s="30" t="s">
        <v>328</v>
      </c>
      <c r="D9" s="106"/>
      <c r="E9" s="32">
        <v>48.61</v>
      </c>
      <c r="F9" s="32">
        <v>301</v>
      </c>
      <c r="G9" s="33">
        <f t="shared" si="0"/>
        <v>14631.61</v>
      </c>
      <c r="H9" s="34">
        <v>1346.4</v>
      </c>
      <c r="I9" s="22">
        <f t="shared" si="13"/>
        <v>13285.210000000001</v>
      </c>
      <c r="J9" s="35">
        <v>2047.1</v>
      </c>
      <c r="K9" s="35">
        <v>1910.9</v>
      </c>
      <c r="L9" s="35">
        <v>2186.4</v>
      </c>
      <c r="M9" s="35">
        <v>658.9</v>
      </c>
      <c r="N9" s="35">
        <v>486.1</v>
      </c>
      <c r="O9" s="35">
        <v>616.6</v>
      </c>
      <c r="P9" s="36">
        <v>0.19600000000000001</v>
      </c>
      <c r="Q9" s="36">
        <f>J9/1776.8-1</f>
        <v>0.15212742008104452</v>
      </c>
      <c r="R9" s="37">
        <v>0.16900000000000001</v>
      </c>
      <c r="S9" s="37">
        <v>0.14399999999999999</v>
      </c>
      <c r="T9" s="38">
        <v>0.84099999999999997</v>
      </c>
      <c r="U9" s="37">
        <v>0.84099999999999997</v>
      </c>
      <c r="V9" s="37">
        <v>0.28699999999999998</v>
      </c>
      <c r="W9" s="37">
        <v>0.28899999999999998</v>
      </c>
      <c r="X9" s="26">
        <f t="shared" si="1"/>
        <v>0.32186996238581406</v>
      </c>
      <c r="Y9" s="39">
        <f>X9-15%</f>
        <v>0.17186996238581406</v>
      </c>
      <c r="Z9" s="26">
        <f t="shared" si="2"/>
        <v>0.2543827515830237</v>
      </c>
      <c r="AA9" s="26">
        <f t="shared" si="3"/>
        <v>0.28201609952433221</v>
      </c>
      <c r="AB9" s="26">
        <f t="shared" si="4"/>
        <v>0.47399738246685857</v>
      </c>
      <c r="AC9" s="26">
        <f t="shared" si="5"/>
        <v>0.32399738246685861</v>
      </c>
      <c r="AD9" s="27">
        <f t="shared" si="6"/>
        <v>6.4897708954130238</v>
      </c>
      <c r="AE9" s="27">
        <f t="shared" si="7"/>
        <v>6.9523313621853582</v>
      </c>
      <c r="AF9" s="27">
        <f t="shared" si="8"/>
        <v>6.0762943651664836</v>
      </c>
      <c r="AG9" s="40">
        <f>AD9/(Q9*100)</f>
        <v>0.42660099618830427</v>
      </c>
      <c r="AH9" s="27">
        <f t="shared" si="9"/>
        <v>20.162710578236457</v>
      </c>
      <c r="AI9" s="27">
        <f t="shared" si="10"/>
        <v>27.330199547418228</v>
      </c>
      <c r="AJ9" s="27">
        <f t="shared" si="11"/>
        <v>21.545913071683426</v>
      </c>
      <c r="AK9" s="27">
        <f t="shared" si="12"/>
        <v>1.3253830616134128</v>
      </c>
      <c r="AL9" s="10"/>
    </row>
    <row r="10" spans="1:39" x14ac:dyDescent="0.2">
      <c r="A10" s="28" t="s">
        <v>26</v>
      </c>
      <c r="B10" s="29" t="s">
        <v>159</v>
      </c>
      <c r="C10" s="30" t="s">
        <v>328</v>
      </c>
      <c r="D10" s="106">
        <f>35*(1600*0.29/55)+32</f>
        <v>327.27272727272725</v>
      </c>
      <c r="E10" s="32">
        <v>193.49</v>
      </c>
      <c r="F10" s="32">
        <v>55</v>
      </c>
      <c r="G10" s="33">
        <f t="shared" si="0"/>
        <v>10641.95</v>
      </c>
      <c r="H10" s="34">
        <v>1650.6</v>
      </c>
      <c r="I10" s="22">
        <f t="shared" si="13"/>
        <v>8991.35</v>
      </c>
      <c r="J10" s="35">
        <v>1357.4870000000001</v>
      </c>
      <c r="K10" s="35">
        <v>1226.5999999999999</v>
      </c>
      <c r="L10" s="35">
        <v>1505.9</v>
      </c>
      <c r="M10" s="35">
        <v>356.5</v>
      </c>
      <c r="N10" s="35">
        <v>323.8</v>
      </c>
      <c r="O10" s="35">
        <v>439</v>
      </c>
      <c r="P10" s="36">
        <v>0.26600000000000001</v>
      </c>
      <c r="Q10" s="36">
        <f>J10/1100.2-1</f>
        <v>0.23385475368114883</v>
      </c>
      <c r="R10" s="37">
        <v>0.26200000000000001</v>
      </c>
      <c r="S10" s="37">
        <v>0.22800000000000001</v>
      </c>
      <c r="T10" s="38">
        <v>0.89900000000000002</v>
      </c>
      <c r="U10" s="37">
        <v>0.89500000000000002</v>
      </c>
      <c r="V10" s="37">
        <v>0.127</v>
      </c>
      <c r="W10" s="37">
        <v>0.14599999999999999</v>
      </c>
      <c r="X10" s="26">
        <f t="shared" si="1"/>
        <v>0.26261761622763236</v>
      </c>
      <c r="Y10" s="39">
        <f>X10-14%</f>
        <v>0.12261761622763234</v>
      </c>
      <c r="Z10" s="26">
        <f t="shared" si="2"/>
        <v>0.26398173813794229</v>
      </c>
      <c r="AA10" s="26">
        <f t="shared" si="3"/>
        <v>0.29152002124975096</v>
      </c>
      <c r="AB10" s="26">
        <f>X10+Q10</f>
        <v>0.49647236990878119</v>
      </c>
      <c r="AC10" s="26">
        <f>Y10+Q10</f>
        <v>0.35647236990878117</v>
      </c>
      <c r="AD10" s="27">
        <f t="shared" si="6"/>
        <v>6.6235256764889829</v>
      </c>
      <c r="AE10" s="27">
        <f t="shared" si="7"/>
        <v>7.3303032773520309</v>
      </c>
      <c r="AF10" s="27">
        <f t="shared" si="8"/>
        <v>5.9707483896673086</v>
      </c>
      <c r="AG10" s="40">
        <f>AD10/(Q10*100)</f>
        <v>0.28323245827706728</v>
      </c>
      <c r="AH10" s="27">
        <f t="shared" si="9"/>
        <v>25.221178120617111</v>
      </c>
      <c r="AI10" s="27">
        <f t="shared" si="10"/>
        <v>27.76822112415071</v>
      </c>
      <c r="AJ10" s="27">
        <f t="shared" si="11"/>
        <v>20.481435079726651</v>
      </c>
      <c r="AK10" s="27">
        <f t="shared" si="12"/>
        <v>1.0784975598573947</v>
      </c>
      <c r="AL10" s="10"/>
    </row>
    <row r="11" spans="1:39" x14ac:dyDescent="0.2">
      <c r="A11" s="28" t="s">
        <v>108</v>
      </c>
      <c r="B11" s="29" t="s">
        <v>241</v>
      </c>
      <c r="C11" s="30" t="s">
        <v>328</v>
      </c>
      <c r="D11" s="31"/>
      <c r="E11" s="32">
        <v>59.23</v>
      </c>
      <c r="F11" s="32">
        <v>94.534999999999997</v>
      </c>
      <c r="G11" s="33">
        <f t="shared" si="0"/>
        <v>5599.3080499999996</v>
      </c>
      <c r="H11" s="34">
        <v>371.73600000000079</v>
      </c>
      <c r="I11" s="22">
        <f t="shared" si="13"/>
        <v>5227.5720499999989</v>
      </c>
      <c r="J11" s="35">
        <v>1537.7355399999999</v>
      </c>
      <c r="K11" s="35">
        <v>1598.4996599999999</v>
      </c>
      <c r="L11" s="35">
        <v>1694.5821793999999</v>
      </c>
      <c r="M11" s="35">
        <v>362.64787863752798</v>
      </c>
      <c r="N11" s="35">
        <v>446.51801412388619</v>
      </c>
      <c r="O11" s="35">
        <v>498.11112466158545</v>
      </c>
      <c r="P11" s="36">
        <v>0.4406703680481725</v>
      </c>
      <c r="Q11" s="36">
        <v>-6.3878146866131025E-2</v>
      </c>
      <c r="R11" s="37">
        <v>6.7673666493006879E-2</v>
      </c>
      <c r="S11" s="37">
        <v>6.010793859036534E-2</v>
      </c>
      <c r="T11" s="38">
        <v>0.76416312031571121</v>
      </c>
      <c r="U11" s="37">
        <v>0.76468396314749876</v>
      </c>
      <c r="V11" s="37">
        <v>0.22069277915217295</v>
      </c>
      <c r="W11" s="37">
        <v>0.23504734912877914</v>
      </c>
      <c r="X11" s="26">
        <f t="shared" si="1"/>
        <v>0.23583241019293083</v>
      </c>
      <c r="Y11" s="39">
        <v>0.1421810662173601</v>
      </c>
      <c r="Z11" s="26">
        <f t="shared" si="2"/>
        <v>0.2793356954007023</v>
      </c>
      <c r="AA11" s="26">
        <f t="shared" si="3"/>
        <v>0.29394332757467773</v>
      </c>
      <c r="AB11" s="26">
        <f t="shared" ref="AB11:AB26" si="14">X11+Q11</f>
        <v>0.17195426332679981</v>
      </c>
      <c r="AC11" s="26">
        <f t="shared" ref="AC11:AC26" si="15">Y11+Q11</f>
        <v>7.8302919351229072E-2</v>
      </c>
      <c r="AD11" s="27">
        <f t="shared" si="6"/>
        <v>3.3995260654507597</v>
      </c>
      <c r="AE11" s="27">
        <f t="shared" si="7"/>
        <v>3.270299131624463</v>
      </c>
      <c r="AF11" s="27">
        <f t="shared" si="8"/>
        <v>3.0848737308514145</v>
      </c>
      <c r="AG11" s="41" t="s">
        <v>278</v>
      </c>
      <c r="AH11" s="27">
        <f t="shared" si="9"/>
        <v>14.415007940043779</v>
      </c>
      <c r="AI11" s="27">
        <f t="shared" si="10"/>
        <v>11.707415792075103</v>
      </c>
      <c r="AJ11" s="27">
        <f t="shared" si="11"/>
        <v>10.494790803059436</v>
      </c>
      <c r="AK11" s="27" t="str">
        <f t="shared" si="12"/>
        <v>-</v>
      </c>
      <c r="AL11" s="13"/>
    </row>
    <row r="12" spans="1:39" x14ac:dyDescent="0.2">
      <c r="A12" s="28" t="s">
        <v>109</v>
      </c>
      <c r="B12" s="29" t="s">
        <v>242</v>
      </c>
      <c r="C12" s="30" t="s">
        <v>328</v>
      </c>
      <c r="D12" s="31"/>
      <c r="E12" s="32">
        <v>88.31</v>
      </c>
      <c r="F12" s="32">
        <v>113.2</v>
      </c>
      <c r="G12" s="33">
        <f t="shared" si="0"/>
        <v>9996.6920000000009</v>
      </c>
      <c r="H12" s="34">
        <v>827.53100000000086</v>
      </c>
      <c r="I12" s="22">
        <f t="shared" si="13"/>
        <v>9169.1610000000001</v>
      </c>
      <c r="J12" s="35">
        <v>1662.1479999999999</v>
      </c>
      <c r="K12" s="35">
        <v>1618.8589999999999</v>
      </c>
      <c r="L12" s="35">
        <v>1803.9480000000001</v>
      </c>
      <c r="M12" s="35">
        <v>320.358</v>
      </c>
      <c r="N12" s="35">
        <v>297.09899999999999</v>
      </c>
      <c r="O12" s="35">
        <v>323.245</v>
      </c>
      <c r="P12" s="36">
        <v>0.16</v>
      </c>
      <c r="Q12" s="36">
        <v>0.12057741677992784</v>
      </c>
      <c r="R12" s="37">
        <v>0.13217769814310865</v>
      </c>
      <c r="S12" s="37">
        <v>0.1143329962646531</v>
      </c>
      <c r="T12" s="38">
        <v>0.77100785182650255</v>
      </c>
      <c r="U12" s="37">
        <v>0.77236483535002121</v>
      </c>
      <c r="V12" s="37">
        <v>0.15351738477532634</v>
      </c>
      <c r="W12" s="37">
        <v>0.17523176943016094</v>
      </c>
      <c r="X12" s="26">
        <f t="shared" si="1"/>
        <v>0.19273734950196975</v>
      </c>
      <c r="Y12" s="39">
        <v>-1.70201450171706E-3</v>
      </c>
      <c r="Z12" s="26">
        <f t="shared" si="2"/>
        <v>0.18352370404093254</v>
      </c>
      <c r="AA12" s="26">
        <f t="shared" si="3"/>
        <v>0.17918753755651493</v>
      </c>
      <c r="AB12" s="26">
        <f t="shared" si="14"/>
        <v>0.31331476628189758</v>
      </c>
      <c r="AC12" s="26">
        <f t="shared" si="15"/>
        <v>0.11887540227821078</v>
      </c>
      <c r="AD12" s="27">
        <f t="shared" si="6"/>
        <v>5.5164528068499319</v>
      </c>
      <c r="AE12" s="27">
        <f t="shared" si="7"/>
        <v>5.663965175472355</v>
      </c>
      <c r="AF12" s="27">
        <f t="shared" si="8"/>
        <v>5.082829992882278</v>
      </c>
      <c r="AG12" s="40">
        <f t="shared" ref="AG12:AG26" si="16">AD12/(Q12*100)</f>
        <v>0.45750298473538364</v>
      </c>
      <c r="AH12" s="27">
        <f t="shared" si="9"/>
        <v>28.621607701384075</v>
      </c>
      <c r="AI12" s="27">
        <f t="shared" si="10"/>
        <v>30.862308523421486</v>
      </c>
      <c r="AJ12" s="27">
        <f t="shared" si="11"/>
        <v>28.365979365496759</v>
      </c>
      <c r="AK12" s="27">
        <f t="shared" si="12"/>
        <v>2.3737121316525522</v>
      </c>
      <c r="AL12" s="13"/>
    </row>
    <row r="13" spans="1:39" s="105" customFormat="1" x14ac:dyDescent="0.2">
      <c r="A13" s="93" t="s">
        <v>110</v>
      </c>
      <c r="B13" s="18" t="s">
        <v>243</v>
      </c>
      <c r="C13" s="94" t="s">
        <v>328</v>
      </c>
      <c r="D13" s="95"/>
      <c r="E13" s="21">
        <v>19.75</v>
      </c>
      <c r="F13" s="21">
        <v>376.41459027621477</v>
      </c>
      <c r="G13" s="96">
        <f t="shared" si="0"/>
        <v>7434.1881579552419</v>
      </c>
      <c r="H13" s="97">
        <v>823.48300000000017</v>
      </c>
      <c r="I13" s="97">
        <f t="shared" si="13"/>
        <v>6610.7051579552417</v>
      </c>
      <c r="J13" s="96">
        <v>1189.33573</v>
      </c>
      <c r="K13" s="96">
        <v>1146.1172300000003</v>
      </c>
      <c r="L13" s="96">
        <v>1370.8528412000001</v>
      </c>
      <c r="M13" s="96">
        <v>145.82187204641173</v>
      </c>
      <c r="N13" s="96" t="s">
        <v>278</v>
      </c>
      <c r="O13" s="96">
        <v>146.20931686965116</v>
      </c>
      <c r="P13" s="98">
        <v>0.24803785727109107</v>
      </c>
      <c r="Q13" s="98">
        <v>0.1688516056116558</v>
      </c>
      <c r="R13" s="99">
        <v>0.18935998015860678</v>
      </c>
      <c r="S13" s="99">
        <v>0.19608431434191043</v>
      </c>
      <c r="T13" s="100">
        <v>0.78880630461335965</v>
      </c>
      <c r="U13" s="99">
        <v>0.7887060831602849</v>
      </c>
      <c r="V13" s="99">
        <v>5.981657653990613E-2</v>
      </c>
      <c r="W13" s="99">
        <v>9.0881300561993283E-2</v>
      </c>
      <c r="X13" s="26">
        <f t="shared" si="1"/>
        <v>0.122607829200937</v>
      </c>
      <c r="Y13" s="101">
        <v>-0.23212844455079834</v>
      </c>
      <c r="Z13" s="26"/>
      <c r="AA13" s="26">
        <f t="shared" si="3"/>
        <v>0.10665573464593346</v>
      </c>
      <c r="AB13" s="101">
        <f t="shared" si="14"/>
        <v>0.29145943481259279</v>
      </c>
      <c r="AC13" s="101">
        <f t="shared" si="15"/>
        <v>-6.3276838939142543E-2</v>
      </c>
      <c r="AD13" s="102">
        <f t="shared" si="6"/>
        <v>5.5583171271203984</v>
      </c>
      <c r="AE13" s="102">
        <f t="shared" si="7"/>
        <v>5.7679135998638111</v>
      </c>
      <c r="AF13" s="102">
        <f t="shared" si="8"/>
        <v>4.822330274465088</v>
      </c>
      <c r="AG13" s="103">
        <f t="shared" si="16"/>
        <v>0.3291835518522726</v>
      </c>
      <c r="AH13" s="102">
        <f t="shared" si="9"/>
        <v>45.334112538695209</v>
      </c>
      <c r="AI13" s="102" t="str">
        <f t="shared" si="10"/>
        <v>-</v>
      </c>
      <c r="AJ13" s="102">
        <f t="shared" si="11"/>
        <v>45.213980199694326</v>
      </c>
      <c r="AK13" s="102">
        <f t="shared" si="12"/>
        <v>2.6848493607434079</v>
      </c>
      <c r="AL13" s="104"/>
    </row>
    <row r="14" spans="1:39" x14ac:dyDescent="0.2">
      <c r="A14" s="28" t="s">
        <v>114</v>
      </c>
      <c r="B14" s="29" t="s">
        <v>247</v>
      </c>
      <c r="C14" s="30" t="s">
        <v>329</v>
      </c>
      <c r="D14" s="31"/>
      <c r="E14" s="32">
        <v>50.09</v>
      </c>
      <c r="F14" s="32">
        <v>168.2</v>
      </c>
      <c r="G14" s="33">
        <f t="shared" si="0"/>
        <v>8425.1380000000008</v>
      </c>
      <c r="H14" s="34">
        <v>1165</v>
      </c>
      <c r="I14" s="22">
        <f>G14-H14</f>
        <v>7260.1380000000008</v>
      </c>
      <c r="J14" s="35">
        <v>1024.2</v>
      </c>
      <c r="K14" s="35">
        <v>939.5</v>
      </c>
      <c r="L14" s="35">
        <v>1122.556</v>
      </c>
      <c r="M14" s="35">
        <v>224.3</v>
      </c>
      <c r="N14" s="35">
        <v>187.5</v>
      </c>
      <c r="O14" s="35">
        <v>249</v>
      </c>
      <c r="P14" s="36">
        <v>0.28999999999999998</v>
      </c>
      <c r="Q14" s="36">
        <v>0.19</v>
      </c>
      <c r="R14" s="37">
        <v>0.23699999999999999</v>
      </c>
      <c r="S14" s="37">
        <v>0.19500000000000001</v>
      </c>
      <c r="T14" s="38">
        <v>0.9</v>
      </c>
      <c r="U14" s="37">
        <v>0.90500000000000003</v>
      </c>
      <c r="V14" s="37">
        <v>0.14299999999999999</v>
      </c>
      <c r="W14" s="37">
        <v>0.159</v>
      </c>
      <c r="X14" s="26">
        <f t="shared" si="1"/>
        <v>0.21900019527436049</v>
      </c>
      <c r="Y14" s="39">
        <v>-0.03</v>
      </c>
      <c r="Z14" s="26">
        <f t="shared" si="2"/>
        <v>0.19957424161788184</v>
      </c>
      <c r="AA14" s="26">
        <f t="shared" si="3"/>
        <v>0.22181521456390593</v>
      </c>
      <c r="AB14" s="26">
        <f t="shared" si="14"/>
        <v>0.40900019527436049</v>
      </c>
      <c r="AC14" s="26">
        <f t="shared" si="15"/>
        <v>0.16</v>
      </c>
      <c r="AD14" s="27">
        <f t="shared" si="6"/>
        <v>7.0885940246045696</v>
      </c>
      <c r="AE14" s="27">
        <f t="shared" si="7"/>
        <v>7.7276615220862173</v>
      </c>
      <c r="AF14" s="27">
        <f t="shared" si="8"/>
        <v>6.4675062981267759</v>
      </c>
      <c r="AG14" s="40">
        <f t="shared" si="16"/>
        <v>0.37308389603181946</v>
      </c>
      <c r="AH14" s="27">
        <f t="shared" si="9"/>
        <v>32.367980383415073</v>
      </c>
      <c r="AI14" s="27">
        <f t="shared" si="10"/>
        <v>38.720736000000002</v>
      </c>
      <c r="AJ14" s="27">
        <f t="shared" si="11"/>
        <v>29.157180722891571</v>
      </c>
      <c r="AK14" s="27">
        <f t="shared" si="12"/>
        <v>1.7035779149165828</v>
      </c>
      <c r="AL14" s="13"/>
    </row>
    <row r="15" spans="1:39" x14ac:dyDescent="0.2">
      <c r="A15" s="28" t="s">
        <v>113</v>
      </c>
      <c r="B15" s="29" t="s">
        <v>246</v>
      </c>
      <c r="C15" s="30" t="s">
        <v>329</v>
      </c>
      <c r="D15" s="31"/>
      <c r="E15" s="32">
        <v>24.8</v>
      </c>
      <c r="F15" s="32">
        <v>317.6083694167105</v>
      </c>
      <c r="G15" s="33">
        <f t="shared" si="0"/>
        <v>7876.6875615344206</v>
      </c>
      <c r="H15" s="34">
        <v>-553.28800000000047</v>
      </c>
      <c r="I15" s="22">
        <f t="shared" si="13"/>
        <v>8429.975561534422</v>
      </c>
      <c r="J15" s="35">
        <v>1712.7378329999999</v>
      </c>
      <c r="K15" s="35">
        <v>1694.6843029999998</v>
      </c>
      <c r="L15" s="35">
        <v>1777.40090983</v>
      </c>
      <c r="M15" s="35">
        <v>614.50704467188689</v>
      </c>
      <c r="N15" s="35">
        <v>559.91499744372459</v>
      </c>
      <c r="O15" s="35">
        <v>617.70816446346032</v>
      </c>
      <c r="P15" s="36">
        <v>3.9345662841894224E-2</v>
      </c>
      <c r="Q15" s="36">
        <v>3.4694348725433422E-2</v>
      </c>
      <c r="R15" s="37">
        <v>3.3332745738156477E-2</v>
      </c>
      <c r="S15" s="37">
        <v>4.8809448865238192E-2</v>
      </c>
      <c r="T15" s="38">
        <v>0.81876883267502598</v>
      </c>
      <c r="U15" s="37">
        <v>0.83229770885032939</v>
      </c>
      <c r="V15" s="37">
        <v>0.32805473595278833</v>
      </c>
      <c r="W15" s="37">
        <v>0.34545566629472951</v>
      </c>
      <c r="X15" s="26">
        <f t="shared" si="1"/>
        <v>0.35878640200031531</v>
      </c>
      <c r="Y15" s="39">
        <v>0.16074149783312855</v>
      </c>
      <c r="Z15" s="26">
        <f t="shared" si="2"/>
        <v>0.33039486850296546</v>
      </c>
      <c r="AA15" s="26">
        <f t="shared" si="3"/>
        <v>0.34753451573429273</v>
      </c>
      <c r="AB15" s="26">
        <f t="shared" si="14"/>
        <v>0.39348075072574873</v>
      </c>
      <c r="AC15" s="26">
        <f t="shared" si="15"/>
        <v>0.19543584655856197</v>
      </c>
      <c r="AD15" s="27">
        <f t="shared" si="6"/>
        <v>4.9219299060899662</v>
      </c>
      <c r="AE15" s="27">
        <f t="shared" si="7"/>
        <v>4.9743633941798677</v>
      </c>
      <c r="AF15" s="27">
        <f t="shared" si="8"/>
        <v>4.742866685232376</v>
      </c>
      <c r="AG15" s="40">
        <f t="shared" si="16"/>
        <v>1.4186546474878319</v>
      </c>
      <c r="AH15" s="27">
        <f t="shared" si="9"/>
        <v>13.718273264117855</v>
      </c>
      <c r="AI15" s="27">
        <f t="shared" si="10"/>
        <v>15.055813114528503</v>
      </c>
      <c r="AJ15" s="27">
        <f t="shared" si="11"/>
        <v>13.64718170571159</v>
      </c>
      <c r="AK15" s="27">
        <f t="shared" si="12"/>
        <v>3.9540368296527171</v>
      </c>
      <c r="AL15" s="13"/>
    </row>
    <row r="16" spans="1:39" x14ac:dyDescent="0.2">
      <c r="A16" s="28" t="s">
        <v>116</v>
      </c>
      <c r="B16" s="29" t="s">
        <v>249</v>
      </c>
      <c r="C16" s="30" t="s">
        <v>328</v>
      </c>
      <c r="D16" s="31"/>
      <c r="E16" s="32">
        <v>32.51</v>
      </c>
      <c r="F16" s="32">
        <v>168.26399999999998</v>
      </c>
      <c r="G16" s="33">
        <f t="shared" si="0"/>
        <v>5470.262639999999</v>
      </c>
      <c r="H16" s="34">
        <v>136.98300000000017</v>
      </c>
      <c r="I16" s="22">
        <f t="shared" si="13"/>
        <v>5333.2796399999988</v>
      </c>
      <c r="J16" s="35">
        <v>1197.5848720124227</v>
      </c>
      <c r="K16" s="35">
        <v>1167.5297063154908</v>
      </c>
      <c r="L16" s="35">
        <v>1238.1134666555022</v>
      </c>
      <c r="M16" s="35">
        <v>408.78593108709612</v>
      </c>
      <c r="N16" s="35">
        <v>376.56684505795198</v>
      </c>
      <c r="O16" s="35">
        <v>413.41864216104318</v>
      </c>
      <c r="P16" s="36">
        <v>4.3883049067097835E-2</v>
      </c>
      <c r="Q16" s="36">
        <v>8.6990146542593294E-2</v>
      </c>
      <c r="R16" s="37">
        <v>7.1000436934577582E-2</v>
      </c>
      <c r="S16" s="37">
        <v>6.045564404760273E-2</v>
      </c>
      <c r="T16" s="38">
        <v>0.81132113524615723</v>
      </c>
      <c r="U16" s="37">
        <v>0.81499999999999995</v>
      </c>
      <c r="V16" s="37">
        <v>0.27983493384125607</v>
      </c>
      <c r="W16" s="37">
        <v>0.29076952369660686</v>
      </c>
      <c r="X16" s="26">
        <f t="shared" si="1"/>
        <v>0.34134192961219684</v>
      </c>
      <c r="Y16" s="39">
        <v>0.15074082455946677</v>
      </c>
      <c r="Z16" s="26">
        <f t="shared" si="2"/>
        <v>0.32253298825802706</v>
      </c>
      <c r="AA16" s="26">
        <f t="shared" si="3"/>
        <v>0.33391014094839377</v>
      </c>
      <c r="AB16" s="26">
        <f t="shared" si="14"/>
        <v>0.42833207615479013</v>
      </c>
      <c r="AC16" s="26">
        <f t="shared" si="15"/>
        <v>0.23773097110206007</v>
      </c>
      <c r="AD16" s="27">
        <f t="shared" si="6"/>
        <v>4.4533625671456178</v>
      </c>
      <c r="AE16" s="27">
        <f t="shared" si="7"/>
        <v>4.568003375974774</v>
      </c>
      <c r="AF16" s="27">
        <f t="shared" si="8"/>
        <v>4.307585519125892</v>
      </c>
      <c r="AG16" s="40">
        <f t="shared" si="16"/>
        <v>0.51193873606881468</v>
      </c>
      <c r="AH16" s="27">
        <f t="shared" si="9"/>
        <v>13.046632074193591</v>
      </c>
      <c r="AI16" s="27">
        <f t="shared" si="10"/>
        <v>14.162902841802843</v>
      </c>
      <c r="AJ16" s="27">
        <f t="shared" si="11"/>
        <v>12.900433352791266</v>
      </c>
      <c r="AK16" s="27">
        <f t="shared" si="12"/>
        <v>1.4997827446819534</v>
      </c>
      <c r="AL16" s="13"/>
    </row>
    <row r="17" spans="1:38" x14ac:dyDescent="0.2">
      <c r="A17" s="28" t="s">
        <v>119</v>
      </c>
      <c r="B17" s="29" t="s">
        <v>252</v>
      </c>
      <c r="C17" s="30" t="s">
        <v>328</v>
      </c>
      <c r="D17" s="106">
        <f>27*1.8+5</f>
        <v>53.6</v>
      </c>
      <c r="E17" s="32">
        <v>49.36</v>
      </c>
      <c r="F17" s="32">
        <v>121</v>
      </c>
      <c r="G17" s="33">
        <f t="shared" si="0"/>
        <v>5972.5599999999995</v>
      </c>
      <c r="H17" s="34">
        <v>705.6</v>
      </c>
      <c r="I17" s="22">
        <f t="shared" si="13"/>
        <v>5266.9599999999991</v>
      </c>
      <c r="J17" s="35">
        <v>551.85299999999995</v>
      </c>
      <c r="K17" s="35">
        <v>508.6</v>
      </c>
      <c r="L17" s="35">
        <v>601.1</v>
      </c>
      <c r="M17" s="35">
        <v>93.9</v>
      </c>
      <c r="N17" s="35">
        <v>103.1</v>
      </c>
      <c r="O17" s="35">
        <v>156</v>
      </c>
      <c r="P17" s="36">
        <v>0.23499999999999999</v>
      </c>
      <c r="Q17" s="36">
        <f>J17/474.761-1</f>
        <v>0.16238065047465966</v>
      </c>
      <c r="R17" s="37">
        <v>0.187</v>
      </c>
      <c r="S17" s="37">
        <v>0.182</v>
      </c>
      <c r="T17" s="38">
        <v>0.82899999999999996</v>
      </c>
      <c r="U17" s="37">
        <v>0.82799999999999996</v>
      </c>
      <c r="V17" s="37">
        <v>0.151</v>
      </c>
      <c r="W17" s="37">
        <v>0.183</v>
      </c>
      <c r="X17" s="26">
        <f>M17/J17</f>
        <v>0.17015400840441208</v>
      </c>
      <c r="Y17" s="39">
        <f>X17-(150.9/J17)</f>
        <v>-0.10328837570874855</v>
      </c>
      <c r="Z17" s="26">
        <f>N17/K17</f>
        <v>0.20271333071175773</v>
      </c>
      <c r="AA17" s="26">
        <f>O17/L17</f>
        <v>0.25952420562302442</v>
      </c>
      <c r="AB17" s="26">
        <f t="shared" si="14"/>
        <v>0.33253465887907174</v>
      </c>
      <c r="AC17" s="26">
        <f t="shared" si="15"/>
        <v>5.9092274765911112E-2</v>
      </c>
      <c r="AD17" s="27">
        <f t="shared" si="6"/>
        <v>9.5441358477710541</v>
      </c>
      <c r="AE17" s="27">
        <f t="shared" si="7"/>
        <v>10.355800235941798</v>
      </c>
      <c r="AF17" s="27">
        <f t="shared" si="8"/>
        <v>8.7622026285143892</v>
      </c>
      <c r="AG17" s="40">
        <f t="shared" si="16"/>
        <v>0.58776312447772006</v>
      </c>
      <c r="AH17" s="27">
        <f t="shared" si="9"/>
        <v>56.091160809371658</v>
      </c>
      <c r="AI17" s="27">
        <f t="shared" si="10"/>
        <v>51.085935984481083</v>
      </c>
      <c r="AJ17" s="27">
        <f t="shared" si="11"/>
        <v>33.762564102564099</v>
      </c>
      <c r="AK17" s="27">
        <f t="shared" si="12"/>
        <v>3.4543007830926857</v>
      </c>
      <c r="AL17" s="10"/>
    </row>
    <row r="18" spans="1:38" x14ac:dyDescent="0.2">
      <c r="A18" s="28" t="s">
        <v>45</v>
      </c>
      <c r="B18" s="29" t="s">
        <v>178</v>
      </c>
      <c r="C18" s="30" t="s">
        <v>328</v>
      </c>
      <c r="D18" s="31"/>
      <c r="E18" s="32">
        <v>12.56</v>
      </c>
      <c r="F18" s="32">
        <v>320</v>
      </c>
      <c r="G18" s="33">
        <f t="shared" si="0"/>
        <v>4019.2000000000003</v>
      </c>
      <c r="H18" s="34">
        <v>926.2</v>
      </c>
      <c r="I18" s="22">
        <f t="shared" si="13"/>
        <v>3093</v>
      </c>
      <c r="J18" s="35">
        <v>878.03599999999994</v>
      </c>
      <c r="K18" s="35">
        <v>825.9</v>
      </c>
      <c r="L18" s="35">
        <v>933.28099999999995</v>
      </c>
      <c r="M18" s="35">
        <v>201.9</v>
      </c>
      <c r="N18" s="35">
        <v>215.13300000000001</v>
      </c>
      <c r="O18" s="35">
        <v>255.98</v>
      </c>
      <c r="P18" s="36">
        <v>0.17499999999999999</v>
      </c>
      <c r="Q18" s="36">
        <v>0.123</v>
      </c>
      <c r="R18" s="37">
        <v>0.14599999999999999</v>
      </c>
      <c r="S18" s="37">
        <v>0.13</v>
      </c>
      <c r="T18" s="38">
        <v>0.86099999999999999</v>
      </c>
      <c r="U18" s="37">
        <v>0.86</v>
      </c>
      <c r="V18" s="37">
        <v>0.188</v>
      </c>
      <c r="W18" s="37">
        <v>0.2</v>
      </c>
      <c r="X18" s="26">
        <f t="shared" ref="X18:X26" si="17">M18/J18</f>
        <v>0.22994501364408751</v>
      </c>
      <c r="Y18" s="39">
        <v>-0.03</v>
      </c>
      <c r="Z18" s="26">
        <f t="shared" ref="Z18:Z26" si="18">N18/K18</f>
        <v>0.26048310933527064</v>
      </c>
      <c r="AA18" s="26">
        <f t="shared" ref="AA18:AA26" si="19">O18/L18</f>
        <v>0.27427966496692852</v>
      </c>
      <c r="AB18" s="26">
        <f t="shared" si="14"/>
        <v>0.35294501364408748</v>
      </c>
      <c r="AC18" s="26">
        <f t="shared" si="15"/>
        <v>9.2999999999999999E-2</v>
      </c>
      <c r="AD18" s="27">
        <f t="shared" si="6"/>
        <v>3.5226346072370611</v>
      </c>
      <c r="AE18" s="27">
        <f t="shared" si="7"/>
        <v>3.7450054486015256</v>
      </c>
      <c r="AF18" s="27">
        <f t="shared" si="8"/>
        <v>3.314114398557348</v>
      </c>
      <c r="AG18" s="40">
        <f t="shared" si="16"/>
        <v>0.28639305749894806</v>
      </c>
      <c r="AH18" s="27">
        <f t="shared" si="9"/>
        <v>15.319465081723624</v>
      </c>
      <c r="AI18" s="27">
        <f t="shared" si="10"/>
        <v>14.377152738073656</v>
      </c>
      <c r="AJ18" s="27">
        <f t="shared" si="11"/>
        <v>12.082975232440035</v>
      </c>
      <c r="AK18" s="27">
        <f t="shared" si="12"/>
        <v>1.2454849659937905</v>
      </c>
      <c r="AL18" s="13"/>
    </row>
    <row r="19" spans="1:38" s="105" customFormat="1" x14ac:dyDescent="0.2">
      <c r="A19" s="93" t="s">
        <v>51</v>
      </c>
      <c r="B19" s="18" t="s">
        <v>184</v>
      </c>
      <c r="C19" s="94" t="s">
        <v>330</v>
      </c>
      <c r="D19" s="95"/>
      <c r="E19" s="21">
        <v>54.36</v>
      </c>
      <c r="F19" s="21">
        <v>66.277000000000001</v>
      </c>
      <c r="G19" s="96">
        <f t="shared" si="0"/>
        <v>3602.81772</v>
      </c>
      <c r="H19" s="97">
        <v>-27.028000000000247</v>
      </c>
      <c r="I19" s="97">
        <f>G19-H19</f>
        <v>3629.8457200000003</v>
      </c>
      <c r="J19" s="96">
        <v>712.72217499999988</v>
      </c>
      <c r="K19" s="96">
        <v>698.54528499999992</v>
      </c>
      <c r="L19" s="96">
        <v>757.99312165000003</v>
      </c>
      <c r="M19" s="96">
        <v>204.31839877498714</v>
      </c>
      <c r="N19" s="96">
        <v>192.35457707463326</v>
      </c>
      <c r="O19" s="96">
        <v>223.31045899334163</v>
      </c>
      <c r="P19" s="98">
        <v>6.0141876401140548E-2</v>
      </c>
      <c r="Q19" s="98">
        <v>7.5310384939182518E-2</v>
      </c>
      <c r="R19" s="99">
        <v>6.9197602764886623E-2</v>
      </c>
      <c r="S19" s="99">
        <v>8.5102337567134478E-2</v>
      </c>
      <c r="T19" s="100">
        <v>0.80033903660948758</v>
      </c>
      <c r="U19" s="99">
        <v>0.80499999999999994</v>
      </c>
      <c r="V19" s="99">
        <v>0.22031589472255894</v>
      </c>
      <c r="W19" s="99">
        <v>0.24284679024145736</v>
      </c>
      <c r="X19" s="26">
        <f t="shared" si="17"/>
        <v>0.28667327317967506</v>
      </c>
      <c r="Y19" s="101">
        <v>0.14251909031031226</v>
      </c>
      <c r="Z19" s="26">
        <f t="shared" si="18"/>
        <v>0.27536450564494652</v>
      </c>
      <c r="AA19" s="26">
        <f t="shared" si="19"/>
        <v>0.29460750053673213</v>
      </c>
      <c r="AB19" s="101">
        <f t="shared" si="14"/>
        <v>0.36198365811885758</v>
      </c>
      <c r="AC19" s="101">
        <f t="shared" si="15"/>
        <v>0.21782947524949478</v>
      </c>
      <c r="AD19" s="102">
        <f t="shared" si="6"/>
        <v>5.0929322074200947</v>
      </c>
      <c r="AE19" s="102">
        <f t="shared" si="7"/>
        <v>5.1962926354874766</v>
      </c>
      <c r="AF19" s="102">
        <f t="shared" si="8"/>
        <v>4.7887581250058693</v>
      </c>
      <c r="AG19" s="103">
        <f t="shared" si="16"/>
        <v>0.67625895306907957</v>
      </c>
      <c r="AH19" s="102">
        <f t="shared" si="9"/>
        <v>17.765633157675126</v>
      </c>
      <c r="AI19" s="102">
        <f t="shared" si="10"/>
        <v>18.870597077560706</v>
      </c>
      <c r="AJ19" s="102">
        <f t="shared" si="11"/>
        <v>16.254705383540635</v>
      </c>
      <c r="AK19" s="102">
        <f t="shared" si="12"/>
        <v>2.3589884943519941</v>
      </c>
      <c r="AL19" s="104"/>
    </row>
    <row r="20" spans="1:38" x14ac:dyDescent="0.2">
      <c r="A20" s="28" t="s">
        <v>121</v>
      </c>
      <c r="B20" s="29" t="s">
        <v>254</v>
      </c>
      <c r="C20" s="30" t="s">
        <v>330</v>
      </c>
      <c r="D20" s="31"/>
      <c r="E20" s="32">
        <v>17.53</v>
      </c>
      <c r="F20" s="32">
        <v>167.71017897480453</v>
      </c>
      <c r="G20" s="33">
        <f t="shared" si="0"/>
        <v>2939.9594374283238</v>
      </c>
      <c r="H20" s="34">
        <v>742.6880000000001</v>
      </c>
      <c r="I20" s="22">
        <f t="shared" si="13"/>
        <v>2197.2714374283237</v>
      </c>
      <c r="J20" s="35">
        <v>466.32773499999996</v>
      </c>
      <c r="K20" s="35">
        <v>443.66548</v>
      </c>
      <c r="L20" s="35">
        <v>536.993696</v>
      </c>
      <c r="M20" s="35"/>
      <c r="N20" s="35"/>
      <c r="O20" s="35"/>
      <c r="P20" s="36">
        <v>0.25560688301189516</v>
      </c>
      <c r="Q20" s="36">
        <v>0.19861340012748796</v>
      </c>
      <c r="R20" s="37">
        <v>0.20915145684516911</v>
      </c>
      <c r="S20" s="37">
        <v>0.21035717270588639</v>
      </c>
      <c r="T20" s="38">
        <v>0.69320550924989699</v>
      </c>
      <c r="U20" s="37">
        <v>0.69801206389208714</v>
      </c>
      <c r="V20" s="37">
        <v>-0.23135035050506966</v>
      </c>
      <c r="W20" s="37">
        <v>-0.12486454458902931</v>
      </c>
      <c r="X20" s="26">
        <f t="shared" si="17"/>
        <v>0</v>
      </c>
      <c r="Y20" s="39">
        <v>-0.63197448507208465</v>
      </c>
      <c r="Z20" s="26">
        <f t="shared" si="18"/>
        <v>0</v>
      </c>
      <c r="AA20" s="26">
        <f t="shared" si="19"/>
        <v>0</v>
      </c>
      <c r="AB20" s="26">
        <f t="shared" si="14"/>
        <v>0.19861340012748796</v>
      </c>
      <c r="AC20" s="26">
        <f t="shared" si="15"/>
        <v>-0.43336108494459669</v>
      </c>
      <c r="AD20" s="27">
        <f t="shared" si="6"/>
        <v>4.7118609349459426</v>
      </c>
      <c r="AE20" s="27">
        <f t="shared" si="7"/>
        <v>4.9525409040800819</v>
      </c>
      <c r="AF20" s="27">
        <f t="shared" si="8"/>
        <v>4.0918011771749434</v>
      </c>
      <c r="AG20" s="40">
        <f t="shared" si="16"/>
        <v>0.23723781637701413</v>
      </c>
      <c r="AH20" s="27" t="str">
        <f t="shared" si="9"/>
        <v>-</v>
      </c>
      <c r="AI20" s="27" t="str">
        <f t="shared" si="10"/>
        <v>-</v>
      </c>
      <c r="AJ20" s="27" t="str">
        <f t="shared" si="11"/>
        <v>-</v>
      </c>
      <c r="AK20" s="27" t="str">
        <f t="shared" si="12"/>
        <v>-</v>
      </c>
      <c r="AL20" s="13"/>
    </row>
    <row r="21" spans="1:38" x14ac:dyDescent="0.2">
      <c r="A21" s="28" t="s">
        <v>53</v>
      </c>
      <c r="B21" s="29" t="s">
        <v>186</v>
      </c>
      <c r="C21" s="30" t="s">
        <v>330</v>
      </c>
      <c r="D21" s="31"/>
      <c r="E21" s="32">
        <v>13.4</v>
      </c>
      <c r="F21" s="32">
        <v>242.251</v>
      </c>
      <c r="G21" s="33">
        <f t="shared" si="0"/>
        <v>3246.1634000000004</v>
      </c>
      <c r="H21" s="34">
        <v>432.74900000000025</v>
      </c>
      <c r="I21" s="22">
        <f t="shared" si="13"/>
        <v>2813.4144000000001</v>
      </c>
      <c r="J21" s="35">
        <v>800.452</v>
      </c>
      <c r="K21" s="35">
        <v>782.66200000000003</v>
      </c>
      <c r="L21" s="35">
        <v>855.00300000000004</v>
      </c>
      <c r="M21" s="35">
        <v>61.978000000000002</v>
      </c>
      <c r="N21" s="35">
        <v>73.653999999999996</v>
      </c>
      <c r="O21" s="35">
        <v>145.30699999999999</v>
      </c>
      <c r="P21" s="36">
        <v>8.5999999999999993E-2</v>
      </c>
      <c r="Q21" s="36">
        <v>8.3602840143766954E-2</v>
      </c>
      <c r="R21" s="37">
        <v>8.1210041498820384E-2</v>
      </c>
      <c r="S21" s="37">
        <v>9.2429426751266863E-2</v>
      </c>
      <c r="T21" s="38">
        <v>0.89981243499748298</v>
      </c>
      <c r="U21" s="37">
        <v>0.89999918128942225</v>
      </c>
      <c r="V21" s="37">
        <v>5.5244792771336794E-2</v>
      </c>
      <c r="W21" s="37">
        <v>0.10849084740053544</v>
      </c>
      <c r="X21" s="26">
        <f t="shared" si="17"/>
        <v>7.7428752754693603E-2</v>
      </c>
      <c r="Y21" s="39">
        <v>-0.17883895598986574</v>
      </c>
      <c r="Z21" s="26">
        <f t="shared" si="18"/>
        <v>9.4107034709746989E-2</v>
      </c>
      <c r="AA21" s="26">
        <f t="shared" si="19"/>
        <v>0.16994911128966797</v>
      </c>
      <c r="AB21" s="26">
        <f t="shared" si="14"/>
        <v>0.16103159289846056</v>
      </c>
      <c r="AC21" s="26">
        <f t="shared" si="15"/>
        <v>-9.5236115846098784E-2</v>
      </c>
      <c r="AD21" s="27">
        <f t="shared" si="6"/>
        <v>3.5147821480863315</v>
      </c>
      <c r="AE21" s="27">
        <f t="shared" si="7"/>
        <v>3.5946735627895565</v>
      </c>
      <c r="AF21" s="27">
        <f t="shared" si="8"/>
        <v>3.2905316121697816</v>
      </c>
      <c r="AG21" s="40">
        <f t="shared" si="16"/>
        <v>0.42041420387658657</v>
      </c>
      <c r="AH21" s="27">
        <f t="shared" si="9"/>
        <v>45.393759075801093</v>
      </c>
      <c r="AI21" s="27">
        <f t="shared" si="10"/>
        <v>38.19771363401852</v>
      </c>
      <c r="AJ21" s="27">
        <f t="shared" si="11"/>
        <v>19.361864190988737</v>
      </c>
      <c r="AK21" s="27">
        <f t="shared" si="12"/>
        <v>5.4296910245800358</v>
      </c>
      <c r="AL21" s="13"/>
    </row>
    <row r="22" spans="1:38" x14ac:dyDescent="0.2">
      <c r="A22" s="28" t="s">
        <v>55</v>
      </c>
      <c r="B22" s="29" t="s">
        <v>188</v>
      </c>
      <c r="C22" s="30" t="s">
        <v>328</v>
      </c>
      <c r="D22" s="31"/>
      <c r="E22" s="32">
        <v>30.39</v>
      </c>
      <c r="F22" s="32">
        <v>112.97218896385017</v>
      </c>
      <c r="G22" s="33">
        <f t="shared" si="0"/>
        <v>3433.2248226114066</v>
      </c>
      <c r="H22" s="34">
        <v>539.29399999999987</v>
      </c>
      <c r="I22" s="22">
        <f t="shared" si="13"/>
        <v>2893.9308226114067</v>
      </c>
      <c r="J22" s="35">
        <v>732.53274499999998</v>
      </c>
      <c r="K22" s="35">
        <v>704.07802499999991</v>
      </c>
      <c r="L22" s="35">
        <v>814.82368200000008</v>
      </c>
      <c r="M22" s="35">
        <v>49.844795149234344</v>
      </c>
      <c r="N22" s="35">
        <v>46.923713231884506</v>
      </c>
      <c r="O22" s="35">
        <v>83.970688546859421</v>
      </c>
      <c r="P22" s="36">
        <v>0.1963693811411571</v>
      </c>
      <c r="Q22" s="36">
        <v>0.18148537120369035</v>
      </c>
      <c r="R22" s="37">
        <v>0.18649504558399754</v>
      </c>
      <c r="S22" s="37">
        <v>0.15729173907962846</v>
      </c>
      <c r="T22" s="38">
        <v>0.6907361258008301</v>
      </c>
      <c r="U22" s="37">
        <v>0.70000000000000007</v>
      </c>
      <c r="V22" s="37">
        <v>1.07049838790948E-2</v>
      </c>
      <c r="W22" s="37">
        <v>4.959741739935361E-2</v>
      </c>
      <c r="X22" s="26">
        <f t="shared" si="17"/>
        <v>6.8044460113840161E-2</v>
      </c>
      <c r="Y22" s="39">
        <v>-0.13195553988615985</v>
      </c>
      <c r="Z22" s="26">
        <f t="shared" si="18"/>
        <v>6.6645615351912893E-2</v>
      </c>
      <c r="AA22" s="26">
        <f t="shared" si="19"/>
        <v>0.10305381446542126</v>
      </c>
      <c r="AB22" s="26">
        <f t="shared" si="14"/>
        <v>0.24952983131753051</v>
      </c>
      <c r="AC22" s="26">
        <f t="shared" si="15"/>
        <v>4.9529831317530498E-2</v>
      </c>
      <c r="AD22" s="27">
        <f t="shared" si="6"/>
        <v>3.9505821990406815</v>
      </c>
      <c r="AE22" s="27">
        <f t="shared" si="7"/>
        <v>4.1102416491572891</v>
      </c>
      <c r="AF22" s="27">
        <f t="shared" si="8"/>
        <v>3.5516037230388284</v>
      </c>
      <c r="AG22" s="40">
        <f t="shared" si="16"/>
        <v>0.21768047599862692</v>
      </c>
      <c r="AH22" s="27">
        <f t="shared" si="9"/>
        <v>58.058836713984569</v>
      </c>
      <c r="AI22" s="27">
        <f t="shared" si="10"/>
        <v>61.673099234716794</v>
      </c>
      <c r="AJ22" s="27">
        <f t="shared" si="11"/>
        <v>34.463583337136306</v>
      </c>
      <c r="AK22" s="27">
        <f t="shared" si="12"/>
        <v>3.1990918237052921</v>
      </c>
      <c r="AL22" s="13"/>
    </row>
    <row r="23" spans="1:38" s="105" customFormat="1" x14ac:dyDescent="0.2">
      <c r="A23" s="93" t="s">
        <v>125</v>
      </c>
      <c r="B23" s="18" t="s">
        <v>258</v>
      </c>
      <c r="C23" s="94" t="s">
        <v>329</v>
      </c>
      <c r="D23" s="95"/>
      <c r="E23" s="21">
        <v>36.979999999999997</v>
      </c>
      <c r="F23" s="21">
        <v>98.501659883047338</v>
      </c>
      <c r="G23" s="96">
        <f t="shared" si="0"/>
        <v>3642.5913824750901</v>
      </c>
      <c r="H23" s="97">
        <v>-1126.8430000000003</v>
      </c>
      <c r="I23" s="97">
        <f t="shared" si="13"/>
        <v>4769.4343824750904</v>
      </c>
      <c r="J23" s="96">
        <v>905.33335999999997</v>
      </c>
      <c r="K23" s="96">
        <v>880.04899999999998</v>
      </c>
      <c r="L23" s="96">
        <v>985.65488000000005</v>
      </c>
      <c r="M23" s="96">
        <v>182.49640147106257</v>
      </c>
      <c r="N23" s="96">
        <v>160.79524041296074</v>
      </c>
      <c r="O23" s="96">
        <v>193.69188460427594</v>
      </c>
      <c r="P23" s="98">
        <v>0.14059979429437552</v>
      </c>
      <c r="Q23" s="98">
        <v>0.12242354213055484</v>
      </c>
      <c r="R23" s="99">
        <v>0.12737905369484315</v>
      </c>
      <c r="S23" s="99">
        <v>0.12000000000000011</v>
      </c>
      <c r="T23" s="100">
        <v>0.61873510736334003</v>
      </c>
      <c r="U23" s="99">
        <v>0.61526367575765006</v>
      </c>
      <c r="V23" s="99">
        <v>0.25909288761421245</v>
      </c>
      <c r="W23" s="99">
        <v>0.2629738930426716</v>
      </c>
      <c r="X23" s="26">
        <f t="shared" si="17"/>
        <v>0.20157922985524646</v>
      </c>
      <c r="Y23" s="101">
        <v>0.10060404873522233</v>
      </c>
      <c r="Z23" s="26">
        <f t="shared" si="18"/>
        <v>0.18271169038651341</v>
      </c>
      <c r="AA23" s="26">
        <f t="shared" si="19"/>
        <v>0.19651085642093705</v>
      </c>
      <c r="AB23" s="101">
        <f t="shared" si="14"/>
        <v>0.3240027719858013</v>
      </c>
      <c r="AC23" s="101">
        <f t="shared" si="15"/>
        <v>0.22302759086577717</v>
      </c>
      <c r="AD23" s="102">
        <f t="shared" si="6"/>
        <v>5.2681526973391222</v>
      </c>
      <c r="AE23" s="102">
        <f t="shared" si="7"/>
        <v>5.4195100300950179</v>
      </c>
      <c r="AF23" s="102">
        <f t="shared" si="8"/>
        <v>4.8388482411562661</v>
      </c>
      <c r="AG23" s="103">
        <f t="shared" si="16"/>
        <v>0.430321865031569</v>
      </c>
      <c r="AH23" s="102">
        <f t="shared" si="9"/>
        <v>26.134402344538024</v>
      </c>
      <c r="AI23" s="102">
        <f t="shared" si="10"/>
        <v>29.66153954697937</v>
      </c>
      <c r="AJ23" s="102">
        <f t="shared" si="11"/>
        <v>24.623821448272491</v>
      </c>
      <c r="AK23" s="102">
        <f t="shared" si="12"/>
        <v>2.1347529968270145</v>
      </c>
      <c r="AL23" s="104"/>
    </row>
    <row r="24" spans="1:38" x14ac:dyDescent="0.2">
      <c r="A24" s="28" t="s">
        <v>62</v>
      </c>
      <c r="B24" s="29" t="s">
        <v>195</v>
      </c>
      <c r="C24" s="30" t="s">
        <v>329</v>
      </c>
      <c r="D24" s="31"/>
      <c r="E24" s="32">
        <v>7.8</v>
      </c>
      <c r="F24" s="32">
        <v>266.48630517711172</v>
      </c>
      <c r="G24" s="33">
        <f t="shared" si="0"/>
        <v>2078.5931803814715</v>
      </c>
      <c r="H24" s="34">
        <v>570.23399999999992</v>
      </c>
      <c r="I24" s="22">
        <f t="shared" si="13"/>
        <v>1508.3591803814716</v>
      </c>
      <c r="J24" s="35">
        <v>834.13558750000016</v>
      </c>
      <c r="K24" s="35">
        <v>826.34304750000013</v>
      </c>
      <c r="L24" s="35">
        <v>859.58257345000015</v>
      </c>
      <c r="M24" s="35">
        <v>111.10877316658183</v>
      </c>
      <c r="N24" s="35">
        <v>131.13194168398354</v>
      </c>
      <c r="O24" s="35">
        <v>148.55137707222249</v>
      </c>
      <c r="P24" s="36">
        <v>4.8694107921085195E-2</v>
      </c>
      <c r="Q24" s="36">
        <v>3.4989859616644692E-2</v>
      </c>
      <c r="R24" s="37">
        <v>3.7605817597822444E-2</v>
      </c>
      <c r="S24" s="37">
        <v>4.0224850987204519E-2</v>
      </c>
      <c r="T24" s="38">
        <v>0.6900251090029289</v>
      </c>
      <c r="U24" s="37">
        <v>0.68236929195565921</v>
      </c>
      <c r="V24" s="37">
        <v>0.1579182576622333</v>
      </c>
      <c r="W24" s="37">
        <v>0.16986082345607362</v>
      </c>
      <c r="X24" s="26">
        <f t="shared" si="17"/>
        <v>0.13320229328614014</v>
      </c>
      <c r="Y24" s="39">
        <v>6.3202882069315638E-2</v>
      </c>
      <c r="Z24" s="26">
        <f t="shared" si="18"/>
        <v>0.15868947174022605</v>
      </c>
      <c r="AA24" s="26">
        <f t="shared" si="19"/>
        <v>0.17281804175717549</v>
      </c>
      <c r="AB24" s="26">
        <f t="shared" si="14"/>
        <v>0.16819215290278483</v>
      </c>
      <c r="AC24" s="26">
        <f t="shared" si="15"/>
        <v>9.819274168596033E-2</v>
      </c>
      <c r="AD24" s="27">
        <f t="shared" si="6"/>
        <v>1.8082901664730511</v>
      </c>
      <c r="AE24" s="27">
        <f t="shared" si="7"/>
        <v>1.825342616416787</v>
      </c>
      <c r="AF24" s="27">
        <f t="shared" si="8"/>
        <v>1.7547577475047651</v>
      </c>
      <c r="AG24" s="40">
        <f t="shared" si="16"/>
        <v>0.51680406445896299</v>
      </c>
      <c r="AH24" s="27">
        <f t="shared" si="9"/>
        <v>13.575518272711346</v>
      </c>
      <c r="AI24" s="27">
        <f t="shared" si="10"/>
        <v>11.50260692407411</v>
      </c>
      <c r="AJ24" s="27">
        <f t="shared" si="11"/>
        <v>10.153787935928319</v>
      </c>
      <c r="AK24" s="27">
        <f t="shared" si="12"/>
        <v>3.8798435951007546</v>
      </c>
      <c r="AL24" s="13"/>
    </row>
    <row r="25" spans="1:38" x14ac:dyDescent="0.2">
      <c r="A25" s="28" t="s">
        <v>124</v>
      </c>
      <c r="B25" s="29" t="s">
        <v>257</v>
      </c>
      <c r="C25" s="30" t="s">
        <v>328</v>
      </c>
      <c r="D25" s="31"/>
      <c r="E25" s="32">
        <v>41.43</v>
      </c>
      <c r="F25" s="32">
        <v>44.155999999999999</v>
      </c>
      <c r="G25" s="33">
        <f t="shared" si="0"/>
        <v>1829.3830799999998</v>
      </c>
      <c r="H25" s="34">
        <v>-1356</v>
      </c>
      <c r="I25" s="22">
        <f>G25-H25</f>
        <v>3185.3830799999996</v>
      </c>
      <c r="J25" s="35">
        <f>240.1+251.8+243.7+240.8</f>
        <v>976.39999999999986</v>
      </c>
      <c r="K25" s="35">
        <v>967.2</v>
      </c>
      <c r="L25" s="35">
        <v>984.2</v>
      </c>
      <c r="M25" s="35"/>
      <c r="N25" s="35"/>
      <c r="O25" s="35"/>
      <c r="P25" s="36"/>
      <c r="Q25" s="36"/>
      <c r="R25" s="37"/>
      <c r="S25" s="37"/>
      <c r="T25" s="38"/>
      <c r="U25" s="37"/>
      <c r="V25" s="37"/>
      <c r="W25" s="37"/>
      <c r="X25" s="26">
        <f t="shared" si="17"/>
        <v>0</v>
      </c>
      <c r="Y25" s="39"/>
      <c r="Z25" s="26">
        <f t="shared" si="18"/>
        <v>0</v>
      </c>
      <c r="AA25" s="26">
        <f t="shared" si="19"/>
        <v>0</v>
      </c>
      <c r="AB25" s="26">
        <f t="shared" si="14"/>
        <v>0</v>
      </c>
      <c r="AC25" s="26">
        <f t="shared" si="15"/>
        <v>0</v>
      </c>
      <c r="AD25" s="27">
        <f t="shared" si="6"/>
        <v>3.2623751331421551</v>
      </c>
      <c r="AE25" s="27">
        <f t="shared" si="7"/>
        <v>3.2934068238213392</v>
      </c>
      <c r="AF25" s="27">
        <f t="shared" si="8"/>
        <v>3.2365200975411494</v>
      </c>
      <c r="AG25" s="40" t="e">
        <f t="shared" si="16"/>
        <v>#DIV/0!</v>
      </c>
      <c r="AH25" s="27" t="str">
        <f t="shared" si="9"/>
        <v>-</v>
      </c>
      <c r="AI25" s="27" t="str">
        <f t="shared" si="10"/>
        <v>-</v>
      </c>
      <c r="AJ25" s="27" t="str">
        <f t="shared" si="11"/>
        <v>-</v>
      </c>
      <c r="AK25" s="27" t="str">
        <f t="shared" si="12"/>
        <v>-</v>
      </c>
      <c r="AL25" s="13"/>
    </row>
    <row r="26" spans="1:38" x14ac:dyDescent="0.2">
      <c r="A26" s="28" t="s">
        <v>130</v>
      </c>
      <c r="B26" s="29" t="s">
        <v>263</v>
      </c>
      <c r="C26" s="30" t="s">
        <v>330</v>
      </c>
      <c r="D26" s="31"/>
      <c r="E26" s="32">
        <v>15.98</v>
      </c>
      <c r="F26" s="32">
        <v>100.77718323354037</v>
      </c>
      <c r="G26" s="33">
        <f t="shared" si="0"/>
        <v>1610.4193880719752</v>
      </c>
      <c r="H26" s="34">
        <v>145.74800000000005</v>
      </c>
      <c r="I26" s="22">
        <f t="shared" si="13"/>
        <v>1464.6713880719751</v>
      </c>
      <c r="J26" s="35">
        <v>504.40632374999996</v>
      </c>
      <c r="K26" s="35">
        <v>496.01997374999996</v>
      </c>
      <c r="L26" s="35">
        <v>535.78174080000008</v>
      </c>
      <c r="M26" s="35">
        <v>134.50485601647063</v>
      </c>
      <c r="N26" s="35">
        <v>132.73582177408156</v>
      </c>
      <c r="O26" s="35">
        <v>151.16597245968987</v>
      </c>
      <c r="P26" s="36">
        <v>7.7654445363940505E-2</v>
      </c>
      <c r="Q26" s="36">
        <v>5.93833721531003E-2</v>
      </c>
      <c r="R26" s="37">
        <v>6.1007560978740161E-2</v>
      </c>
      <c r="S26" s="37">
        <v>8.0161624842229662E-2</v>
      </c>
      <c r="T26" s="38">
        <v>0.85620101010347671</v>
      </c>
      <c r="U26" s="37">
        <v>0.84999999999999987</v>
      </c>
      <c r="V26" s="37">
        <v>0.2050688260540032</v>
      </c>
      <c r="W26" s="37">
        <v>0.21965939510803684</v>
      </c>
      <c r="X26" s="26">
        <f t="shared" si="17"/>
        <v>0.26665973379654845</v>
      </c>
      <c r="Y26" s="39">
        <v>4.6561382977646747E-2</v>
      </c>
      <c r="Z26" s="26">
        <f t="shared" si="18"/>
        <v>0.26760176766789234</v>
      </c>
      <c r="AA26" s="26">
        <f t="shared" si="19"/>
        <v>0.28214095581901893</v>
      </c>
      <c r="AB26" s="26">
        <f t="shared" si="14"/>
        <v>0.32604310594964875</v>
      </c>
      <c r="AC26" s="26">
        <f t="shared" si="15"/>
        <v>0.10594475513074705</v>
      </c>
      <c r="AD26" s="27">
        <f t="shared" si="6"/>
        <v>2.9037530243136156</v>
      </c>
      <c r="AE26" s="27">
        <f t="shared" si="7"/>
        <v>2.9528475980489186</v>
      </c>
      <c r="AF26" s="27">
        <f t="shared" si="8"/>
        <v>2.7337090395895309</v>
      </c>
      <c r="AG26" s="40">
        <f t="shared" si="16"/>
        <v>0.48898419187567405</v>
      </c>
      <c r="AH26" s="27">
        <f t="shared" si="9"/>
        <v>10.889356945541213</v>
      </c>
      <c r="AI26" s="27">
        <f t="shared" si="10"/>
        <v>11.034484651512301</v>
      </c>
      <c r="AJ26" s="27">
        <f t="shared" si="11"/>
        <v>9.6891606241778145</v>
      </c>
      <c r="AK26" s="27">
        <f t="shared" si="12"/>
        <v>1.8337383935467024</v>
      </c>
      <c r="AL26" s="13"/>
    </row>
    <row r="27" spans="1:38" ht="8.25" customHeight="1" x14ac:dyDescent="0.2">
      <c r="A27" s="17"/>
      <c r="B27" s="18"/>
      <c r="C27" s="19"/>
      <c r="D27" s="20"/>
      <c r="E27" s="21"/>
      <c r="F27" s="21"/>
      <c r="G27" s="22"/>
      <c r="H27" s="22"/>
      <c r="I27" s="22"/>
      <c r="J27" s="23"/>
      <c r="K27" s="23"/>
      <c r="L27" s="23"/>
      <c r="M27" s="23"/>
      <c r="N27" s="23"/>
      <c r="O27" s="23"/>
      <c r="P27" s="24"/>
      <c r="Q27" s="25"/>
      <c r="R27" s="24"/>
      <c r="S27" s="24"/>
      <c r="T27" s="24"/>
      <c r="U27" s="42"/>
      <c r="V27" s="42"/>
      <c r="W27" s="42"/>
      <c r="X27" s="26"/>
      <c r="Y27" s="26"/>
      <c r="Z27" s="26"/>
      <c r="AA27" s="26"/>
      <c r="AB27" s="26"/>
      <c r="AC27" s="26"/>
      <c r="AD27" s="27"/>
      <c r="AE27" s="27"/>
      <c r="AF27" s="27"/>
      <c r="AG27" s="27"/>
      <c r="AH27" s="27"/>
      <c r="AI27" s="27"/>
      <c r="AJ27" s="27"/>
      <c r="AK27" s="27"/>
      <c r="AL27" s="10"/>
    </row>
    <row r="28" spans="1:38" x14ac:dyDescent="0.2">
      <c r="A28" s="43" t="s">
        <v>305</v>
      </c>
      <c r="B28" s="44"/>
      <c r="C28" s="45"/>
      <c r="D28" s="46"/>
      <c r="E28" s="47"/>
      <c r="F28" s="47"/>
      <c r="G28" s="48"/>
      <c r="H28" s="48"/>
      <c r="I28" s="48"/>
      <c r="J28" s="49"/>
      <c r="K28" s="49"/>
      <c r="L28" s="49"/>
      <c r="M28" s="49"/>
      <c r="N28" s="49"/>
      <c r="O28" s="49"/>
      <c r="P28" s="50">
        <f>AVERAGE(P7:P26)</f>
        <v>0.17368922818977484</v>
      </c>
      <c r="Q28" s="50">
        <f>AVERAGE(Q7:Q26)</f>
        <v>0.1164172261454007</v>
      </c>
      <c r="R28" s="50">
        <f>AVERAGE(R7:R26)</f>
        <v>0.13340569790285903</v>
      </c>
      <c r="S28" s="50">
        <f>AVERAGE(S7:S26)</f>
        <v>0.12742160302145109</v>
      </c>
      <c r="T28" s="50">
        <f t="shared" ref="T28:AC28" si="20">AVERAGE(T7:T26)</f>
        <v>0.79481073572530048</v>
      </c>
      <c r="U28" s="50">
        <f t="shared" si="20"/>
        <v>0.79589920913711476</v>
      </c>
      <c r="V28" s="50">
        <f t="shared" si="20"/>
        <v>0.15667922536806775</v>
      </c>
      <c r="W28" s="50">
        <f t="shared" si="20"/>
        <v>0.18125542710971407</v>
      </c>
      <c r="X28" s="50">
        <f t="shared" si="20"/>
        <v>0.19610420130951708</v>
      </c>
      <c r="Y28" s="50">
        <f t="shared" si="20"/>
        <v>-4.6185962854552844E-3</v>
      </c>
      <c r="Z28" s="50">
        <f t="shared" si="20"/>
        <v>0.19885960715462342</v>
      </c>
      <c r="AA28" s="50">
        <f t="shared" si="20"/>
        <v>0.21323937171912397</v>
      </c>
      <c r="AB28" s="50">
        <f t="shared" si="20"/>
        <v>0.30670056614764774</v>
      </c>
      <c r="AC28" s="50">
        <f t="shared" si="20"/>
        <v>0.10620869836694813</v>
      </c>
      <c r="AD28" s="51">
        <f t="shared" ref="AD28:AK28" si="21">AVERAGE(AD7:AD26)</f>
        <v>5.1834729706934111</v>
      </c>
      <c r="AE28" s="51">
        <f t="shared" si="21"/>
        <v>5.410002931422019</v>
      </c>
      <c r="AF28" s="51">
        <f t="shared" si="21"/>
        <v>4.7708448073425158</v>
      </c>
      <c r="AG28" s="52" t="e">
        <f t="shared" si="21"/>
        <v>#DIV/0!</v>
      </c>
      <c r="AH28" s="51">
        <f t="shared" si="21"/>
        <v>28.424028787023943</v>
      </c>
      <c r="AI28" s="51">
        <f t="shared" si="21"/>
        <v>28.286290639374705</v>
      </c>
      <c r="AJ28" s="51">
        <f t="shared" si="21"/>
        <v>22.671181534189653</v>
      </c>
      <c r="AK28" s="51">
        <f t="shared" si="21"/>
        <v>2.6133438899775592</v>
      </c>
      <c r="AL28" s="10"/>
    </row>
    <row r="29" spans="1:38" x14ac:dyDescent="0.2">
      <c r="A29" s="43" t="s">
        <v>306</v>
      </c>
      <c r="B29" s="44"/>
      <c r="C29" s="45"/>
      <c r="D29" s="46"/>
      <c r="E29" s="47"/>
      <c r="F29" s="47"/>
      <c r="G29" s="48"/>
      <c r="H29" s="48"/>
      <c r="I29" s="48"/>
      <c r="J29" s="49"/>
      <c r="K29" s="49"/>
      <c r="L29" s="49"/>
      <c r="M29" s="49"/>
      <c r="N29" s="49"/>
      <c r="O29" s="49"/>
      <c r="P29" s="53">
        <f>MEDIAN(P7:P26)</f>
        <v>0.17499999999999999</v>
      </c>
      <c r="Q29" s="53">
        <f>MEDIAN(Q7:Q26)</f>
        <v>0.12242354213055484</v>
      </c>
      <c r="R29" s="53">
        <f>MEDIAN(R7:R26)</f>
        <v>0.13217769814310865</v>
      </c>
      <c r="S29" s="53">
        <f>MEDIAN(S7:S26)</f>
        <v>0.12138538014422662</v>
      </c>
      <c r="T29" s="53">
        <f t="shared" ref="T29:AC29" si="22">MEDIAN(T7:T26)</f>
        <v>0.81132113524615723</v>
      </c>
      <c r="U29" s="53">
        <f t="shared" si="22"/>
        <v>0.81499999999999995</v>
      </c>
      <c r="V29" s="53">
        <f t="shared" si="22"/>
        <v>0.16994925572408398</v>
      </c>
      <c r="W29" s="53">
        <f t="shared" si="22"/>
        <v>0.183</v>
      </c>
      <c r="X29" s="53">
        <f t="shared" si="22"/>
        <v>0.21028971256480347</v>
      </c>
      <c r="Y29" s="53">
        <f t="shared" si="22"/>
        <v>5.4633908135706954E-2</v>
      </c>
      <c r="Z29" s="53">
        <f t="shared" si="22"/>
        <v>0.20271333071175773</v>
      </c>
      <c r="AA29" s="53">
        <f t="shared" si="22"/>
        <v>0.24066971009346516</v>
      </c>
      <c r="AB29" s="53">
        <f t="shared" si="22"/>
        <v>0.32502293896772505</v>
      </c>
      <c r="AC29" s="53">
        <f t="shared" si="22"/>
        <v>0.11241007870447892</v>
      </c>
      <c r="AD29" s="54">
        <f t="shared" ref="AD29:AK29" si="23">MEDIAN(AD7:AD26)</f>
        <v>5.0074310567550304</v>
      </c>
      <c r="AE29" s="54">
        <f t="shared" si="23"/>
        <v>5.0853280148336726</v>
      </c>
      <c r="AF29" s="54">
        <f t="shared" si="23"/>
        <v>4.7658124051191226</v>
      </c>
      <c r="AG29" s="55" t="e">
        <f t="shared" si="23"/>
        <v>#DIV/0!</v>
      </c>
      <c r="AH29" s="54">
        <f t="shared" si="23"/>
        <v>25.677790232577568</v>
      </c>
      <c r="AI29" s="54">
        <f t="shared" si="23"/>
        <v>27.76822112415071</v>
      </c>
      <c r="AJ29" s="54">
        <f t="shared" si="23"/>
        <v>21.01367407570504</v>
      </c>
      <c r="AK29" s="54">
        <f t="shared" si="23"/>
        <v>2.3589884943519941</v>
      </c>
      <c r="AL29" s="10"/>
    </row>
  </sheetData>
  <mergeCells count="4">
    <mergeCell ref="A4:I4"/>
    <mergeCell ref="J4:S4"/>
    <mergeCell ref="T4:AC4"/>
    <mergeCell ref="AD4:AK4"/>
  </mergeCells>
  <conditionalFormatting sqref="A7:AK26">
    <cfRule type="expression" dxfId="2" priority="1">
      <formula>MOD(ROW(),2)</formula>
    </cfRule>
  </conditionalFormatting>
  <pageMargins left="0.7" right="0.7" top="0.75" bottom="0.75" header="0.3" footer="0.3"/>
  <pageSetup scale="3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D313-90FB-D041-9804-D5C990D94609}">
  <dimension ref="B2:E18"/>
  <sheetViews>
    <sheetView showOutlineSymbols="0" showWhiteSpace="0" workbookViewId="0"/>
  </sheetViews>
  <sheetFormatPr defaultColWidth="11.42578125" defaultRowHeight="15" x14ac:dyDescent="0.25"/>
  <cols>
    <col min="3" max="3" width="10.85546875" style="107"/>
    <col min="4" max="4" width="12" style="107" bestFit="1" customWidth="1"/>
    <col min="5" max="5" width="10.85546875" style="107"/>
  </cols>
  <sheetData>
    <row r="2" spans="2:5" x14ac:dyDescent="0.25">
      <c r="B2" s="116" t="s">
        <v>55</v>
      </c>
      <c r="C2" s="116" t="s">
        <v>374</v>
      </c>
      <c r="D2" s="116" t="s">
        <v>381</v>
      </c>
      <c r="E2" s="116" t="s">
        <v>376</v>
      </c>
    </row>
    <row r="3" spans="2:5" x14ac:dyDescent="0.25">
      <c r="B3" s="108">
        <f>B4+C15</f>
        <v>44.26</v>
      </c>
      <c r="C3" s="110">
        <f>B3*C16+C17</f>
        <v>5223.3201999999992</v>
      </c>
      <c r="D3" s="111">
        <f>C3/E15</f>
        <v>7.1552331506849303</v>
      </c>
      <c r="E3" s="111">
        <f>C3/E16</f>
        <v>5.9763389016018298</v>
      </c>
    </row>
    <row r="4" spans="2:5" x14ac:dyDescent="0.25">
      <c r="B4" s="108">
        <f>B5+C15</f>
        <v>42.26</v>
      </c>
      <c r="C4" s="110">
        <f>B4*C16+C17</f>
        <v>5003.7801999999992</v>
      </c>
      <c r="D4" s="111">
        <f>C4/E15</f>
        <v>6.8544934246575329</v>
      </c>
      <c r="E4" s="111">
        <f>C4/E16</f>
        <v>5.7251489702517153</v>
      </c>
    </row>
    <row r="5" spans="2:5" x14ac:dyDescent="0.25">
      <c r="B5" s="108">
        <f>B6+C15</f>
        <v>40.26</v>
      </c>
      <c r="C5" s="110">
        <f>B5*C16+C17</f>
        <v>4784.2401999999993</v>
      </c>
      <c r="D5" s="111">
        <f>C5/E15</f>
        <v>6.5537536986301363</v>
      </c>
      <c r="E5" s="111">
        <f>C5/E16</f>
        <v>5.4739590389016008</v>
      </c>
    </row>
    <row r="6" spans="2:5" x14ac:dyDescent="0.25">
      <c r="B6" s="108">
        <f>B7+C15</f>
        <v>38.26</v>
      </c>
      <c r="C6" s="110">
        <f>B6*C16+C17</f>
        <v>4564.7001999999993</v>
      </c>
      <c r="D6" s="111">
        <f>C6/E15</f>
        <v>6.2530139726027389</v>
      </c>
      <c r="E6" s="111">
        <f>C6/E16</f>
        <v>5.2227691075514864</v>
      </c>
    </row>
    <row r="7" spans="2:5" x14ac:dyDescent="0.25">
      <c r="B7" s="108">
        <f>B8+C15</f>
        <v>36.26</v>
      </c>
      <c r="C7" s="110">
        <f>B7*C16+C17</f>
        <v>4345.1601999999993</v>
      </c>
      <c r="D7" s="111">
        <f>C7/E15</f>
        <v>5.9522742465753415</v>
      </c>
      <c r="E7" s="111">
        <f>C7/E16</f>
        <v>4.9715791762013719</v>
      </c>
    </row>
    <row r="8" spans="2:5" x14ac:dyDescent="0.25">
      <c r="B8" s="109">
        <v>34.26</v>
      </c>
      <c r="C8" s="110">
        <f>B8*C16+C17</f>
        <v>4125.6201999999994</v>
      </c>
      <c r="D8" s="115">
        <f>C8/E15</f>
        <v>5.6515345205479441</v>
      </c>
      <c r="E8" s="111">
        <f>C8/E16</f>
        <v>4.7203892448512574</v>
      </c>
    </row>
    <row r="9" spans="2:5" x14ac:dyDescent="0.25">
      <c r="B9" s="108">
        <f>B8-C15</f>
        <v>32.26</v>
      </c>
      <c r="C9" s="110">
        <f>B9*C16+C17</f>
        <v>3906.0801999999999</v>
      </c>
      <c r="D9" s="111">
        <f>C9/E15</f>
        <v>5.3507947945205476</v>
      </c>
      <c r="E9" s="111">
        <f>C9/E16</f>
        <v>4.4691993135011439</v>
      </c>
    </row>
    <row r="10" spans="2:5" x14ac:dyDescent="0.25">
      <c r="B10" s="108">
        <f>B9-C15</f>
        <v>30.259999999999998</v>
      </c>
      <c r="C10" s="110">
        <f>B10*C16+C17</f>
        <v>3686.5401999999999</v>
      </c>
      <c r="D10" s="111">
        <f>C10/E15</f>
        <v>5.0500550684931502</v>
      </c>
      <c r="E10" s="111">
        <f>C10/E16</f>
        <v>4.2180093821510294</v>
      </c>
    </row>
    <row r="11" spans="2:5" x14ac:dyDescent="0.25">
      <c r="B11" s="108">
        <f>B10-C15</f>
        <v>28.259999999999998</v>
      </c>
      <c r="C11" s="110">
        <f>B11*C16+C17</f>
        <v>3467.0001999999999</v>
      </c>
      <c r="D11" s="111">
        <f>C11/E15</f>
        <v>4.7493153424657537</v>
      </c>
      <c r="E11" s="111">
        <f>C11/E16</f>
        <v>3.9668194508009154</v>
      </c>
    </row>
    <row r="12" spans="2:5" x14ac:dyDescent="0.25">
      <c r="B12" s="108">
        <f>B11-C15</f>
        <v>26.259999999999998</v>
      </c>
      <c r="C12" s="110">
        <f>B12*C16+C17</f>
        <v>3247.4602</v>
      </c>
      <c r="D12" s="111">
        <f>C12/E15</f>
        <v>4.4485756164383563</v>
      </c>
      <c r="E12" s="111">
        <f>C12/E16</f>
        <v>3.7156295194508009</v>
      </c>
    </row>
    <row r="13" spans="2:5" x14ac:dyDescent="0.25">
      <c r="B13" s="108">
        <f>B12-C15</f>
        <v>24.259999999999998</v>
      </c>
      <c r="C13" s="110">
        <f>B13*C16+C17</f>
        <v>3027.9201999999996</v>
      </c>
      <c r="D13" s="111">
        <f>C13/E15</f>
        <v>4.147835890410958</v>
      </c>
      <c r="E13" s="111">
        <f>C13/E16</f>
        <v>3.464439588100686</v>
      </c>
    </row>
    <row r="15" spans="2:5" x14ac:dyDescent="0.25">
      <c r="B15" s="107" t="s">
        <v>375</v>
      </c>
      <c r="C15" s="113">
        <v>2</v>
      </c>
      <c r="D15" s="107" t="s">
        <v>377</v>
      </c>
      <c r="E15" s="114">
        <v>730</v>
      </c>
    </row>
    <row r="16" spans="2:5" x14ac:dyDescent="0.25">
      <c r="B16" s="107" t="s">
        <v>314</v>
      </c>
      <c r="C16" s="114">
        <v>109.77</v>
      </c>
      <c r="D16" s="107" t="s">
        <v>378</v>
      </c>
      <c r="E16" s="114">
        <v>874</v>
      </c>
    </row>
    <row r="17" spans="2:5" x14ac:dyDescent="0.25">
      <c r="B17" s="107" t="s">
        <v>370</v>
      </c>
      <c r="C17" s="112">
        <v>364.9</v>
      </c>
      <c r="D17" s="107" t="s">
        <v>379</v>
      </c>
      <c r="E17" s="82">
        <f>E16/E15-1</f>
        <v>0.19726027397260282</v>
      </c>
    </row>
    <row r="18" spans="2:5" x14ac:dyDescent="0.25">
      <c r="D18" s="107" t="s">
        <v>380</v>
      </c>
      <c r="E18" s="107">
        <f>E16-E15</f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3"/>
  <sheetViews>
    <sheetView tabSelected="1" showOutlineSymbols="0" showWhiteSpace="0" zoomScale="180" zoomScaleNormal="180" workbookViewId="0">
      <selection sqref="A1:XFD1048576"/>
    </sheetView>
  </sheetViews>
  <sheetFormatPr defaultColWidth="8.85546875" defaultRowHeight="15" x14ac:dyDescent="0.25"/>
  <cols>
    <col min="1" max="1" width="7" style="107" bestFit="1" customWidth="1"/>
    <col min="2" max="2" width="34.28515625" style="107" bestFit="1" customWidth="1"/>
    <col min="3" max="3" width="8.85546875" style="107" bestFit="1" customWidth="1"/>
    <col min="4" max="4" width="12.7109375" style="107" bestFit="1" customWidth="1"/>
    <col min="5" max="5" width="14.42578125" style="107" bestFit="1" customWidth="1"/>
    <col min="6" max="6" width="8.140625" style="107" bestFit="1" customWidth="1"/>
    <col min="7" max="7" width="11.140625" style="107" bestFit="1" customWidth="1"/>
    <col min="8" max="8" width="11.7109375" style="107" bestFit="1" customWidth="1"/>
    <col min="9" max="12" width="10.42578125" style="107" bestFit="1" customWidth="1"/>
    <col min="13" max="16" width="10" style="107" bestFit="1" customWidth="1"/>
    <col min="17" max="17" width="18.42578125" style="107" bestFit="1" customWidth="1"/>
    <col min="18" max="18" width="18.28515625" style="107" bestFit="1" customWidth="1"/>
    <col min="19" max="19" width="8.42578125" style="107" bestFit="1" customWidth="1"/>
    <col min="20" max="21" width="7.85546875" style="107" bestFit="1" customWidth="1"/>
    <col min="22" max="23" width="8.42578125" style="107" bestFit="1" customWidth="1"/>
    <col min="24" max="25" width="8.7109375" style="107" bestFit="1" customWidth="1"/>
    <col min="26" max="26" width="8.42578125" style="107" bestFit="1" customWidth="1"/>
    <col min="27" max="28" width="9" style="107" bestFit="1" customWidth="1"/>
    <col min="29" max="29" width="8.85546875" style="107" bestFit="1" customWidth="1"/>
    <col min="30" max="35" width="8.42578125" style="107" bestFit="1" customWidth="1"/>
    <col min="36" max="39" width="8.7109375" style="107" bestFit="1" customWidth="1"/>
    <col min="40" max="40" width="9.28515625" style="107" bestFit="1" customWidth="1"/>
    <col min="41" max="41" width="12" style="107" bestFit="1" customWidth="1"/>
    <col min="42" max="42" width="6.7109375" style="107" bestFit="1" customWidth="1"/>
    <col min="43" max="43" width="43.140625" style="107" bestFit="1" customWidth="1"/>
    <col min="44" max="16384" width="8.85546875" style="107"/>
  </cols>
  <sheetData>
    <row r="1" spans="1:45" x14ac:dyDescent="0.25">
      <c r="A1" s="107">
        <v>1</v>
      </c>
      <c r="B1" s="107">
        <v>2</v>
      </c>
      <c r="C1" s="107">
        <v>3</v>
      </c>
      <c r="D1" s="107">
        <v>4</v>
      </c>
      <c r="E1" s="107">
        <v>5</v>
      </c>
      <c r="F1" s="107">
        <v>6</v>
      </c>
      <c r="G1" s="107">
        <v>7</v>
      </c>
      <c r="H1" s="107">
        <v>8</v>
      </c>
      <c r="I1" s="107">
        <v>9</v>
      </c>
      <c r="J1" s="107">
        <v>10</v>
      </c>
      <c r="K1" s="107">
        <v>11</v>
      </c>
      <c r="L1" s="107">
        <v>12</v>
      </c>
      <c r="M1" s="107">
        <v>13</v>
      </c>
      <c r="N1" s="107">
        <v>14</v>
      </c>
      <c r="O1" s="107">
        <v>15</v>
      </c>
      <c r="P1" s="107">
        <v>16</v>
      </c>
      <c r="Q1" s="107">
        <v>17</v>
      </c>
      <c r="R1" s="107">
        <v>18</v>
      </c>
      <c r="S1" s="107">
        <v>19</v>
      </c>
      <c r="T1" s="107">
        <v>20</v>
      </c>
      <c r="U1" s="107">
        <v>21</v>
      </c>
      <c r="V1" s="107">
        <v>22</v>
      </c>
      <c r="W1" s="107">
        <v>23</v>
      </c>
      <c r="X1" s="107">
        <v>24</v>
      </c>
      <c r="Y1" s="107">
        <v>25</v>
      </c>
      <c r="Z1" s="107">
        <v>26</v>
      </c>
      <c r="AA1" s="107">
        <v>27</v>
      </c>
      <c r="AB1" s="107">
        <v>28</v>
      </c>
      <c r="AC1" s="107">
        <v>29</v>
      </c>
      <c r="AD1" s="107">
        <v>30</v>
      </c>
      <c r="AE1" s="107">
        <v>31</v>
      </c>
      <c r="AF1" s="107">
        <v>32</v>
      </c>
      <c r="AG1" s="107">
        <v>33</v>
      </c>
      <c r="AH1" s="107">
        <v>34</v>
      </c>
      <c r="AI1" s="107">
        <v>35</v>
      </c>
      <c r="AJ1" s="107">
        <v>36</v>
      </c>
      <c r="AK1" s="107">
        <v>37</v>
      </c>
      <c r="AL1" s="107">
        <v>38</v>
      </c>
      <c r="AM1" s="107">
        <v>39</v>
      </c>
      <c r="AN1" s="107">
        <v>40</v>
      </c>
      <c r="AO1" s="107">
        <v>41</v>
      </c>
      <c r="AP1" s="107">
        <v>42</v>
      </c>
      <c r="AQ1" s="107">
        <v>43</v>
      </c>
      <c r="AR1" s="107">
        <v>44</v>
      </c>
      <c r="AS1" s="107">
        <v>45</v>
      </c>
    </row>
    <row r="2" spans="1:45" ht="57" thickBot="1" x14ac:dyDescent="0.3">
      <c r="A2" s="117" t="s">
        <v>0</v>
      </c>
      <c r="B2" s="117" t="s">
        <v>133</v>
      </c>
      <c r="C2" s="117" t="s">
        <v>373</v>
      </c>
      <c r="D2" s="117" t="s">
        <v>314</v>
      </c>
      <c r="E2" s="117" t="s">
        <v>266</v>
      </c>
      <c r="F2" s="117" t="s">
        <v>370</v>
      </c>
      <c r="G2" s="117" t="s">
        <v>267</v>
      </c>
      <c r="H2" s="117" t="s">
        <v>383</v>
      </c>
      <c r="I2" s="118" t="s">
        <v>268</v>
      </c>
      <c r="J2" s="118" t="s">
        <v>384</v>
      </c>
      <c r="K2" s="118" t="s">
        <v>371</v>
      </c>
      <c r="L2" s="118" t="s">
        <v>372</v>
      </c>
      <c r="M2" s="118" t="s">
        <v>319</v>
      </c>
      <c r="N2" s="118" t="s">
        <v>385</v>
      </c>
      <c r="O2" s="118" t="s">
        <v>386</v>
      </c>
      <c r="P2" s="118" t="s">
        <v>393</v>
      </c>
      <c r="Q2" s="118" t="s">
        <v>269</v>
      </c>
      <c r="R2" s="118" t="s">
        <v>399</v>
      </c>
      <c r="S2" s="118" t="s">
        <v>270</v>
      </c>
      <c r="T2" s="118" t="s">
        <v>271</v>
      </c>
      <c r="U2" s="118" t="s">
        <v>272</v>
      </c>
      <c r="V2" s="118" t="s">
        <v>273</v>
      </c>
      <c r="W2" s="118" t="s">
        <v>274</v>
      </c>
      <c r="X2" s="118" t="s">
        <v>275</v>
      </c>
      <c r="Y2" s="118" t="s">
        <v>276</v>
      </c>
      <c r="Z2" s="118" t="s">
        <v>400</v>
      </c>
      <c r="AA2" s="118" t="s">
        <v>387</v>
      </c>
      <c r="AB2" s="118" t="s">
        <v>388</v>
      </c>
      <c r="AC2" s="118" t="s">
        <v>389</v>
      </c>
      <c r="AD2" s="118" t="s">
        <v>401</v>
      </c>
      <c r="AE2" s="118" t="s">
        <v>282</v>
      </c>
      <c r="AF2" s="118" t="s">
        <v>284</v>
      </c>
      <c r="AG2" s="118" t="s">
        <v>285</v>
      </c>
      <c r="AH2" s="118" t="s">
        <v>286</v>
      </c>
      <c r="AI2" s="118" t="s">
        <v>287</v>
      </c>
      <c r="AJ2" s="118" t="s">
        <v>288</v>
      </c>
      <c r="AK2" s="118" t="s">
        <v>289</v>
      </c>
      <c r="AL2" s="118" t="s">
        <v>290</v>
      </c>
      <c r="AM2" s="118" t="s">
        <v>291</v>
      </c>
      <c r="AN2" s="118" t="s">
        <v>394</v>
      </c>
      <c r="AO2" s="118" t="s">
        <v>292</v>
      </c>
      <c r="AP2" s="118" t="s">
        <v>296</v>
      </c>
      <c r="AQ2" s="118" t="s">
        <v>336</v>
      </c>
      <c r="AR2" s="118" t="s">
        <v>337</v>
      </c>
      <c r="AS2" s="118" t="s">
        <v>395</v>
      </c>
    </row>
    <row r="3" spans="1:45" s="122" customFormat="1" ht="12.75" x14ac:dyDescent="0.2">
      <c r="A3" s="119" t="s">
        <v>4</v>
      </c>
      <c r="B3" s="119" t="s">
        <v>137</v>
      </c>
      <c r="C3" s="119">
        <v>168.065</v>
      </c>
      <c r="D3" s="119"/>
      <c r="E3" s="120">
        <v>400400.55210137996</v>
      </c>
      <c r="F3" s="119"/>
      <c r="G3" s="120">
        <v>394295.98310137994</v>
      </c>
      <c r="H3" s="120">
        <v>3896.163</v>
      </c>
      <c r="I3" s="121">
        <v>5782.6381578947367</v>
      </c>
      <c r="J3" s="121">
        <v>2865.5070000000001</v>
      </c>
      <c r="K3" s="121">
        <v>4393.9047619047624</v>
      </c>
      <c r="L3" s="121">
        <v>6279.4</v>
      </c>
      <c r="M3" s="121">
        <v>2834.462</v>
      </c>
      <c r="N3" s="121">
        <v>1965.722</v>
      </c>
      <c r="O3" s="121">
        <v>2726.6040000000003</v>
      </c>
      <c r="P3" s="121">
        <v>2920.4358974358979</v>
      </c>
      <c r="Q3" s="3" t="s">
        <v>404</v>
      </c>
      <c r="R3" s="3">
        <v>0.47228471948783574</v>
      </c>
      <c r="S3" s="80">
        <v>0.48418794539518406</v>
      </c>
      <c r="T3" s="80">
        <v>0.53337777988494262</v>
      </c>
      <c r="U3" s="80">
        <v>0.42911609155540109</v>
      </c>
      <c r="V3" s="3">
        <v>0.8290900000000001</v>
      </c>
      <c r="W3" s="3">
        <v>0.83355000000000001</v>
      </c>
      <c r="X3" s="4">
        <v>0.48620375628576379</v>
      </c>
      <c r="Y3" s="4">
        <v>0.4808249195783037</v>
      </c>
      <c r="Z3" s="3">
        <v>0.46039885908264094</v>
      </c>
      <c r="AA3" s="4">
        <v>0.49016762290932137</v>
      </c>
      <c r="AB3" s="4">
        <v>0.44737473989942772</v>
      </c>
      <c r="AC3" s="4">
        <v>0.43421409688823781</v>
      </c>
      <c r="AD3" s="5">
        <v>0.93268357857047668</v>
      </c>
      <c r="AE3" s="5">
        <v>0.97435556830450543</v>
      </c>
      <c r="AF3" s="6">
        <v>68.186175986658967</v>
      </c>
      <c r="AG3" s="6">
        <v>89.737034475561146</v>
      </c>
      <c r="AH3" s="6">
        <v>62.791983804404872</v>
      </c>
      <c r="AI3" s="7">
        <v>1.4082584383840211</v>
      </c>
      <c r="AJ3" s="6">
        <v>139.10787412263065</v>
      </c>
      <c r="AK3" s="6">
        <v>200.58583212752359</v>
      </c>
      <c r="AL3" s="6">
        <v>144.61065233579203</v>
      </c>
      <c r="AM3" s="6">
        <v>2.8730139906538503</v>
      </c>
      <c r="AN3" s="6">
        <v>135.01271623443827</v>
      </c>
      <c r="AO3" s="6" t="s">
        <v>294</v>
      </c>
      <c r="AP3" s="6" t="s">
        <v>297</v>
      </c>
      <c r="AQ3" s="6"/>
      <c r="AR3" s="6" t="s">
        <v>121</v>
      </c>
      <c r="AS3" s="119" t="s">
        <v>396</v>
      </c>
    </row>
    <row r="4" spans="1:45" s="122" customFormat="1" ht="12.75" x14ac:dyDescent="0.2">
      <c r="A4" s="119" t="s">
        <v>95</v>
      </c>
      <c r="B4" s="119" t="s">
        <v>228</v>
      </c>
      <c r="C4" s="119">
        <v>198.29</v>
      </c>
      <c r="D4" s="119"/>
      <c r="E4" s="120">
        <v>69571.954644669997</v>
      </c>
      <c r="F4" s="119"/>
      <c r="G4" s="120">
        <v>69030.197644669999</v>
      </c>
      <c r="H4" s="120">
        <v>2013.376</v>
      </c>
      <c r="I4" s="121">
        <v>2570.1111111111113</v>
      </c>
      <c r="J4" s="121">
        <v>1669.626</v>
      </c>
      <c r="K4" s="121">
        <v>2145.1071428571431</v>
      </c>
      <c r="L4" s="121">
        <v>2738.4375</v>
      </c>
      <c r="M4" s="121">
        <v>360.22300000000001</v>
      </c>
      <c r="N4" s="121">
        <v>258.33100000000002</v>
      </c>
      <c r="O4" s="121">
        <v>371.26300000000003</v>
      </c>
      <c r="P4" s="121">
        <v>590.16190476190479</v>
      </c>
      <c r="Q4" s="3" t="s">
        <v>404</v>
      </c>
      <c r="R4" s="3">
        <v>0.28064889358732925</v>
      </c>
      <c r="S4" s="80">
        <v>0.27651820182177156</v>
      </c>
      <c r="T4" s="80">
        <v>0.28478302497513996</v>
      </c>
      <c r="U4" s="80">
        <v>0.27659707307327297</v>
      </c>
      <c r="V4" s="3">
        <v>0.75966000000000011</v>
      </c>
      <c r="W4" s="3">
        <v>0.76017999999999997</v>
      </c>
      <c r="X4" s="4">
        <v>0.13920376937548906</v>
      </c>
      <c r="Y4" s="4">
        <v>0.15153312792422685</v>
      </c>
      <c r="Z4" s="3">
        <v>0.10374217235131439</v>
      </c>
      <c r="AA4" s="4">
        <v>0.14015853184038735</v>
      </c>
      <c r="AB4" s="4">
        <v>0.12042801724855567</v>
      </c>
      <c r="AC4" s="4">
        <v>0.13557475750313822</v>
      </c>
      <c r="AD4" s="5">
        <v>0.38439106593864364</v>
      </c>
      <c r="AE4" s="5">
        <v>0.4166767336621589</v>
      </c>
      <c r="AF4" s="6">
        <v>26.858837871342786</v>
      </c>
      <c r="AG4" s="6">
        <v>32.180302916117405</v>
      </c>
      <c r="AH4" s="6">
        <v>25.207877720294874</v>
      </c>
      <c r="AI4" s="7">
        <v>0.97132259990083836</v>
      </c>
      <c r="AJ4" s="6">
        <v>191.6318437319938</v>
      </c>
      <c r="AK4" s="6">
        <v>267.2160818665588</v>
      </c>
      <c r="AL4" s="6">
        <v>185.93341551587417</v>
      </c>
      <c r="AM4" s="6">
        <v>6.9301710509281111</v>
      </c>
      <c r="AN4" s="6">
        <v>116.96823716962818</v>
      </c>
      <c r="AO4" s="6" t="s">
        <v>295</v>
      </c>
      <c r="AP4" s="6" t="s">
        <v>298</v>
      </c>
      <c r="AQ4" s="6"/>
      <c r="AR4" s="6"/>
      <c r="AS4" s="119" t="s">
        <v>396</v>
      </c>
    </row>
    <row r="5" spans="1:45" s="122" customFormat="1" ht="12.75" x14ac:dyDescent="0.2">
      <c r="A5" s="119" t="s">
        <v>91</v>
      </c>
      <c r="B5" s="119" t="s">
        <v>224</v>
      </c>
      <c r="C5" s="119">
        <v>521.41999999999996</v>
      </c>
      <c r="D5" s="119"/>
      <c r="E5" s="120">
        <v>130853.02909880001</v>
      </c>
      <c r="F5" s="119"/>
      <c r="G5" s="120">
        <v>126729.13209880001</v>
      </c>
      <c r="H5" s="120">
        <v>4341.1019999999999</v>
      </c>
      <c r="I5" s="121">
        <v>5283.2072871572864</v>
      </c>
      <c r="J5" s="121">
        <v>3953.6239999999998</v>
      </c>
      <c r="K5" s="121">
        <v>4704.4710101010105</v>
      </c>
      <c r="L5" s="121">
        <v>5733.005343388495</v>
      </c>
      <c r="M5" s="121">
        <v>1501.171</v>
      </c>
      <c r="N5" s="121">
        <v>1161.3276666666666</v>
      </c>
      <c r="O5" s="121">
        <v>1757.9323333333332</v>
      </c>
      <c r="P5" s="121">
        <v>1424.3608187134505</v>
      </c>
      <c r="Q5" s="3" t="s">
        <v>404</v>
      </c>
      <c r="R5" s="3">
        <v>0.23458040751856302</v>
      </c>
      <c r="S5" s="80">
        <v>0.21701984591868295</v>
      </c>
      <c r="T5" s="80">
        <v>0.18991361093037962</v>
      </c>
      <c r="U5" s="80">
        <v>0.21862911495875093</v>
      </c>
      <c r="V5" s="3">
        <v>0.77904666666666667</v>
      </c>
      <c r="W5" s="3">
        <v>0.78477166666666665</v>
      </c>
      <c r="X5" s="4">
        <v>0.21158985382119733</v>
      </c>
      <c r="Y5" s="4">
        <v>0.23930560869187112</v>
      </c>
      <c r="Z5" s="3">
        <v>0.23909458934620748</v>
      </c>
      <c r="AA5" s="4">
        <v>0.28414009112402799</v>
      </c>
      <c r="AB5" s="4">
        <v>0.24685616388605008</v>
      </c>
      <c r="AC5" s="4">
        <v>0.30663364641036711</v>
      </c>
      <c r="AD5" s="5">
        <v>0.47367499686477049</v>
      </c>
      <c r="AE5" s="5">
        <v>0.50115993704271089</v>
      </c>
      <c r="AF5" s="6">
        <v>23.987158786455382</v>
      </c>
      <c r="AG5" s="6">
        <v>26.938019561965369</v>
      </c>
      <c r="AH5" s="6">
        <v>22.105182972652997</v>
      </c>
      <c r="AI5" s="7">
        <v>1.1052979364589235</v>
      </c>
      <c r="AJ5" s="6">
        <v>84.420184042191067</v>
      </c>
      <c r="AK5" s="6">
        <v>109.12435459541567</v>
      </c>
      <c r="AL5" s="6">
        <v>72.089880648875948</v>
      </c>
      <c r="AM5" s="6">
        <v>3.8899753008682532</v>
      </c>
      <c r="AN5" s="6">
        <v>88.972632800492022</v>
      </c>
      <c r="AO5" s="6" t="s">
        <v>295</v>
      </c>
      <c r="AP5" s="6" t="s">
        <v>298</v>
      </c>
      <c r="AQ5" s="6"/>
      <c r="AR5" s="6"/>
      <c r="AS5" s="119" t="s">
        <v>396</v>
      </c>
    </row>
    <row r="6" spans="1:45" s="122" customFormat="1" ht="12.75" x14ac:dyDescent="0.2">
      <c r="A6" s="119" t="s">
        <v>10</v>
      </c>
      <c r="B6" s="119" t="s">
        <v>143</v>
      </c>
      <c r="C6" s="119">
        <v>530.23</v>
      </c>
      <c r="D6" s="119"/>
      <c r="E6" s="120">
        <v>179193.87964999999</v>
      </c>
      <c r="F6" s="119"/>
      <c r="G6" s="120">
        <v>181038.94564999998</v>
      </c>
      <c r="H6" s="120">
        <v>5520.5990000000002</v>
      </c>
      <c r="I6" s="121">
        <v>6994.487058823529</v>
      </c>
      <c r="J6" s="121">
        <v>4709.2479999999996</v>
      </c>
      <c r="K6" s="121">
        <v>5704.59375</v>
      </c>
      <c r="L6" s="121">
        <v>7852</v>
      </c>
      <c r="M6" s="121">
        <v>4481.8419999999996</v>
      </c>
      <c r="N6" s="121">
        <v>3475.9520000000002</v>
      </c>
      <c r="O6" s="121">
        <v>4857.8190000000004</v>
      </c>
      <c r="P6" s="121">
        <v>5816.884057971014</v>
      </c>
      <c r="Q6" s="3" t="s">
        <v>404</v>
      </c>
      <c r="R6" s="3">
        <v>0.55178622978504765</v>
      </c>
      <c r="S6" s="80">
        <v>0.26697973513807627</v>
      </c>
      <c r="T6" s="80">
        <v>0.21135980734079007</v>
      </c>
      <c r="U6" s="80">
        <v>0.37643456205799053</v>
      </c>
      <c r="V6" s="3">
        <v>0.85826999999999998</v>
      </c>
      <c r="W6" s="3">
        <v>0.87545000000000006</v>
      </c>
      <c r="X6" s="4">
        <v>0.68950045741644617</v>
      </c>
      <c r="Y6" s="4">
        <v>0.74340804890473766</v>
      </c>
      <c r="Z6" s="3">
        <v>0.60746795773429663</v>
      </c>
      <c r="AA6" s="4">
        <v>0.64076778787461852</v>
      </c>
      <c r="AB6" s="4">
        <v>0.60932507244709588</v>
      </c>
      <c r="AC6" s="4">
        <v>0.6186728222109017</v>
      </c>
      <c r="AD6" s="5">
        <v>1.1592541875193443</v>
      </c>
      <c r="AE6" s="5">
        <v>0.90774752301269479</v>
      </c>
      <c r="AF6" s="6">
        <v>25.883091086946795</v>
      </c>
      <c r="AG6" s="6">
        <v>31.735642112990075</v>
      </c>
      <c r="AH6" s="6">
        <v>23.056411825012734</v>
      </c>
      <c r="AI6" s="7">
        <v>0.96947774232979178</v>
      </c>
      <c r="AJ6" s="6">
        <v>40.393870567057029</v>
      </c>
      <c r="AK6" s="6">
        <v>52.083269748834269</v>
      </c>
      <c r="AL6" s="6">
        <v>37.267536244145774</v>
      </c>
      <c r="AM6" s="6">
        <v>1.5129938812084811</v>
      </c>
      <c r="AN6" s="6">
        <v>31.123010850099035</v>
      </c>
      <c r="AO6" s="6" t="s">
        <v>293</v>
      </c>
      <c r="AP6" s="6" t="s">
        <v>297</v>
      </c>
      <c r="AQ6" s="6"/>
      <c r="AR6" s="6" t="s">
        <v>359</v>
      </c>
      <c r="AS6" s="119" t="s">
        <v>396</v>
      </c>
    </row>
    <row r="7" spans="1:45" s="122" customFormat="1" ht="12.75" x14ac:dyDescent="0.2">
      <c r="A7" s="119" t="s">
        <v>22</v>
      </c>
      <c r="B7" s="119" t="s">
        <v>155</v>
      </c>
      <c r="C7" s="119">
        <v>213.17</v>
      </c>
      <c r="D7" s="119"/>
      <c r="E7" s="120">
        <v>18123.477420809999</v>
      </c>
      <c r="F7" s="119"/>
      <c r="G7" s="120">
        <v>17689.727420809999</v>
      </c>
      <c r="H7" s="120">
        <v>1202.4590000000001</v>
      </c>
      <c r="I7" s="121">
        <v>1399.6428571428571</v>
      </c>
      <c r="J7" s="121">
        <v>1202.4590000000001</v>
      </c>
      <c r="K7" s="121">
        <v>1288.1395838509316</v>
      </c>
      <c r="L7" s="121">
        <v>1482.2484091994963</v>
      </c>
      <c r="M7" s="121">
        <v>335.97399999999999</v>
      </c>
      <c r="N7" s="121">
        <v>308.38766666666663</v>
      </c>
      <c r="O7" s="121">
        <v>366.04700000000003</v>
      </c>
      <c r="P7" s="121">
        <v>312.89999999999998</v>
      </c>
      <c r="Q7" s="3" t="s">
        <v>404</v>
      </c>
      <c r="R7" s="3">
        <v>0.2263770312402793</v>
      </c>
      <c r="S7" s="80">
        <v>0.16398385071163091</v>
      </c>
      <c r="T7" s="80">
        <v>7.1254474248961142E-2</v>
      </c>
      <c r="U7" s="80">
        <v>0.15068927916047015</v>
      </c>
      <c r="V7" s="3">
        <v>0.65536749999999999</v>
      </c>
      <c r="W7" s="3">
        <v>0.66456416666666673</v>
      </c>
      <c r="X7" s="4">
        <v>0.18190368207833091</v>
      </c>
      <c r="Y7" s="4">
        <v>0.20752032166645226</v>
      </c>
      <c r="Z7" s="3">
        <v>0.24543539530245934</v>
      </c>
      <c r="AA7" s="4">
        <v>0.24004266394488391</v>
      </c>
      <c r="AB7" s="4">
        <v>0.239405473236629</v>
      </c>
      <c r="AC7" s="4">
        <v>0.24695388284996542</v>
      </c>
      <c r="AD7" s="5">
        <v>0.47181242654273864</v>
      </c>
      <c r="AE7" s="5">
        <v>0.40402651465651485</v>
      </c>
      <c r="AF7" s="6">
        <v>12.63874375561827</v>
      </c>
      <c r="AG7" s="6">
        <v>13.732772164275888</v>
      </c>
      <c r="AH7" s="6">
        <v>11.934387860374578</v>
      </c>
      <c r="AI7" s="7">
        <v>0.77073100191089972</v>
      </c>
      <c r="AJ7" s="6">
        <v>52.652072543738505</v>
      </c>
      <c r="AK7" s="6">
        <v>57.361980821141792</v>
      </c>
      <c r="AL7" s="6">
        <v>48.326382734484909</v>
      </c>
      <c r="AM7" s="6">
        <v>3.2108084006594222</v>
      </c>
      <c r="AN7" s="6">
        <v>56.534763249632469</v>
      </c>
      <c r="AO7" s="6" t="s">
        <v>294</v>
      </c>
      <c r="AP7" s="6" t="s">
        <v>297</v>
      </c>
      <c r="AQ7" s="6"/>
      <c r="AR7" s="6" t="s">
        <v>354</v>
      </c>
      <c r="AS7" s="119" t="s">
        <v>396</v>
      </c>
    </row>
    <row r="8" spans="1:45" s="122" customFormat="1" ht="12.75" x14ac:dyDescent="0.2">
      <c r="A8" s="119" t="s">
        <v>11</v>
      </c>
      <c r="B8" s="119" t="s">
        <v>144</v>
      </c>
      <c r="C8" s="119">
        <v>307.91000000000003</v>
      </c>
      <c r="D8" s="119"/>
      <c r="E8" s="120">
        <v>83813.409910000017</v>
      </c>
      <c r="F8" s="119"/>
      <c r="G8" s="120">
        <v>83539.30591000001</v>
      </c>
      <c r="H8" s="120">
        <v>5212.6260000000002</v>
      </c>
      <c r="I8" s="121">
        <v>5754.8</v>
      </c>
      <c r="J8" s="121">
        <v>4641.2640000000001</v>
      </c>
      <c r="K8" s="121">
        <v>5277.416666666667</v>
      </c>
      <c r="L8" s="121">
        <v>5930.416666666667</v>
      </c>
      <c r="M8" s="121">
        <v>1943.4180000000001</v>
      </c>
      <c r="N8" s="121">
        <v>1560.828</v>
      </c>
      <c r="O8" s="121">
        <v>1862.462</v>
      </c>
      <c r="P8" s="121">
        <v>2700.1333333333337</v>
      </c>
      <c r="Q8" s="3" t="s">
        <v>404</v>
      </c>
      <c r="R8" s="3">
        <v>0.19722979779535876</v>
      </c>
      <c r="S8" s="80">
        <v>0.10401168240345648</v>
      </c>
      <c r="T8" s="80">
        <v>0.13706452954769799</v>
      </c>
      <c r="U8" s="80">
        <v>0.12373478185349529</v>
      </c>
      <c r="V8" s="3">
        <v>0.87517999999999996</v>
      </c>
      <c r="W8" s="3">
        <v>0.88179000000000007</v>
      </c>
      <c r="X8" s="4">
        <v>0.43743485606909943</v>
      </c>
      <c r="Y8" s="4">
        <v>0.43772725356565728</v>
      </c>
      <c r="Z8" s="3">
        <v>0.28145372409223296</v>
      </c>
      <c r="AA8" s="4">
        <v>0.33770382984638914</v>
      </c>
      <c r="AB8" s="4">
        <v>0.29575606752040928</v>
      </c>
      <c r="AC8" s="4">
        <v>0.31405246961287148</v>
      </c>
      <c r="AD8" s="5">
        <v>0.47868352188759172</v>
      </c>
      <c r="AE8" s="5">
        <v>0.44171551224984562</v>
      </c>
      <c r="AF8" s="6">
        <v>14.516456855147009</v>
      </c>
      <c r="AG8" s="6">
        <v>15.82958314389932</v>
      </c>
      <c r="AH8" s="6">
        <v>14.086582883720931</v>
      </c>
      <c r="AI8" s="7">
        <v>1.3956563839471752</v>
      </c>
      <c r="AJ8" s="6">
        <v>42.985763181158148</v>
      </c>
      <c r="AK8" s="6">
        <v>53.522429063292051</v>
      </c>
      <c r="AL8" s="6">
        <v>44.854233756178658</v>
      </c>
      <c r="AM8" s="6">
        <v>4.1327822209834446</v>
      </c>
      <c r="AN8" s="6">
        <v>30.938955820700212</v>
      </c>
      <c r="AO8" s="6" t="s">
        <v>294</v>
      </c>
      <c r="AP8" s="6" t="s">
        <v>297</v>
      </c>
      <c r="AQ8" s="6"/>
      <c r="AR8" s="6" t="s">
        <v>350</v>
      </c>
      <c r="AS8" s="119" t="s">
        <v>397</v>
      </c>
    </row>
    <row r="9" spans="1:45" s="122" customFormat="1" ht="12.75" x14ac:dyDescent="0.2">
      <c r="A9" s="119" t="s">
        <v>30</v>
      </c>
      <c r="B9" s="119" t="s">
        <v>163</v>
      </c>
      <c r="C9" s="119">
        <v>47.185000000000002</v>
      </c>
      <c r="D9" s="119"/>
      <c r="E9" s="120">
        <v>8883.6647607649993</v>
      </c>
      <c r="F9" s="119"/>
      <c r="G9" s="120">
        <v>8016.5667607649993</v>
      </c>
      <c r="H9" s="120">
        <v>621.32899999999995</v>
      </c>
      <c r="I9" s="121">
        <v>680.93313222724987</v>
      </c>
      <c r="J9" s="121">
        <v>570.399</v>
      </c>
      <c r="K9" s="121">
        <v>634.14976470588226</v>
      </c>
      <c r="L9" s="121">
        <v>699.60470085470081</v>
      </c>
      <c r="M9" s="121">
        <v>357.94499999999999</v>
      </c>
      <c r="N9" s="121">
        <v>511.71100000000001</v>
      </c>
      <c r="O9" s="121">
        <v>358.20299999999997</v>
      </c>
      <c r="P9" s="121">
        <v>370.81666666666666</v>
      </c>
      <c r="Q9" s="3" t="s">
        <v>404</v>
      </c>
      <c r="R9" s="3">
        <v>0.20214801615171943</v>
      </c>
      <c r="S9" s="80">
        <v>9.5930066401616498E-2</v>
      </c>
      <c r="T9" s="80">
        <v>0.11176521120458172</v>
      </c>
      <c r="U9" s="80">
        <v>0.10321684212746884</v>
      </c>
      <c r="V9" s="3">
        <v>0.91773749999999987</v>
      </c>
      <c r="W9" s="3">
        <v>0.91780499999999998</v>
      </c>
      <c r="X9" s="4">
        <v>0.54620220534284636</v>
      </c>
      <c r="Y9" s="4">
        <v>0.53489348991341268</v>
      </c>
      <c r="Z9" s="3">
        <v>0.74620048315787613</v>
      </c>
      <c r="AA9" s="4">
        <v>0.52566835575940507</v>
      </c>
      <c r="AB9" s="4">
        <v>0.80692452868342679</v>
      </c>
      <c r="AC9" s="4">
        <v>0.51200770887100466</v>
      </c>
      <c r="AD9" s="5">
        <v>0.94834849930959553</v>
      </c>
      <c r="AE9" s="5">
        <v>0.62159842216102157</v>
      </c>
      <c r="AF9" s="6">
        <v>11.77291334692994</v>
      </c>
      <c r="AG9" s="6">
        <v>12.641440881844483</v>
      </c>
      <c r="AH9" s="6">
        <v>11.458709112404808</v>
      </c>
      <c r="AI9" s="7">
        <v>1.2272391533267568</v>
      </c>
      <c r="AJ9" s="6">
        <v>22.396085322507645</v>
      </c>
      <c r="AK9" s="6">
        <v>15.666199790047505</v>
      </c>
      <c r="AL9" s="6">
        <v>22.379954273875427</v>
      </c>
      <c r="AM9" s="6">
        <v>2.3346262712615249</v>
      </c>
      <c r="AN9" s="6">
        <v>21.618679744972805</v>
      </c>
      <c r="AO9" s="6" t="s">
        <v>294</v>
      </c>
      <c r="AP9" s="6" t="s">
        <v>297</v>
      </c>
      <c r="AQ9" s="6"/>
      <c r="AR9" s="6"/>
      <c r="AS9" s="119" t="s">
        <v>396</v>
      </c>
    </row>
    <row r="10" spans="1:45" s="122" customFormat="1" ht="12.75" x14ac:dyDescent="0.2">
      <c r="A10" s="119" t="s">
        <v>96</v>
      </c>
      <c r="B10" s="119" t="s">
        <v>229</v>
      </c>
      <c r="C10" s="119">
        <v>294.61500000000001</v>
      </c>
      <c r="D10" s="119"/>
      <c r="E10" s="120">
        <v>46637.796968144998</v>
      </c>
      <c r="F10" s="119"/>
      <c r="G10" s="120">
        <v>44861.963968144999</v>
      </c>
      <c r="H10" s="120">
        <v>2673.1149999999998</v>
      </c>
      <c r="I10" s="121">
        <v>3277.2380952380954</v>
      </c>
      <c r="J10" s="121">
        <v>2673.1149999999998</v>
      </c>
      <c r="K10" s="121">
        <v>2917.3882873806997</v>
      </c>
      <c r="L10" s="121">
        <v>3538.396167247387</v>
      </c>
      <c r="M10" s="121">
        <v>872.428</v>
      </c>
      <c r="N10" s="121">
        <v>799.70700000000011</v>
      </c>
      <c r="O10" s="121">
        <v>982.66333333333341</v>
      </c>
      <c r="P10" s="121">
        <v>860.71428571428578</v>
      </c>
      <c r="Q10" s="3" t="s">
        <v>404</v>
      </c>
      <c r="R10" s="3">
        <v>0.23311687443000215</v>
      </c>
      <c r="S10" s="80">
        <v>0.22599966527369597</v>
      </c>
      <c r="T10" s="80">
        <v>9.138151085183388E-2</v>
      </c>
      <c r="U10" s="80">
        <v>0.21286432202147587</v>
      </c>
      <c r="V10" s="3">
        <v>0.80086250000000003</v>
      </c>
      <c r="W10" s="3">
        <v>0.80274500000000004</v>
      </c>
      <c r="X10" s="4">
        <v>0.21861733983969997</v>
      </c>
      <c r="Y10" s="4">
        <v>0.22879301668561097</v>
      </c>
      <c r="Z10" s="3">
        <v>0.27185250166940067</v>
      </c>
      <c r="AA10" s="4">
        <v>0.2662083054837116</v>
      </c>
      <c r="AB10" s="4">
        <v>0.27411743697579455</v>
      </c>
      <c r="AC10" s="4">
        <v>0.27771433352466396</v>
      </c>
      <c r="AD10" s="5">
        <v>0.50496937609940284</v>
      </c>
      <c r="AE10" s="5">
        <v>0.49220797075740758</v>
      </c>
      <c r="AF10" s="6">
        <v>13.688954743120586</v>
      </c>
      <c r="AG10" s="6">
        <v>15.377440213288555</v>
      </c>
      <c r="AH10" s="6">
        <v>12.678615352176442</v>
      </c>
      <c r="AI10" s="7">
        <v>0.60570685919125744</v>
      </c>
      <c r="AJ10" s="6">
        <v>51.42196716307248</v>
      </c>
      <c r="AK10" s="6">
        <v>56.09800085299365</v>
      </c>
      <c r="AL10" s="6">
        <v>45.653442482652579</v>
      </c>
      <c r="AM10" s="6">
        <v>2.2753116514928515</v>
      </c>
      <c r="AN10" s="6">
        <v>52.121783863404971</v>
      </c>
      <c r="AO10" s="6" t="s">
        <v>295</v>
      </c>
      <c r="AP10" s="6" t="s">
        <v>298</v>
      </c>
      <c r="AQ10" s="6"/>
      <c r="AR10" s="6" t="s">
        <v>339</v>
      </c>
      <c r="AS10" s="119" t="s">
        <v>396</v>
      </c>
    </row>
    <row r="11" spans="1:45" s="122" customFormat="1" ht="12.75" x14ac:dyDescent="0.2">
      <c r="A11" s="119" t="s">
        <v>7</v>
      </c>
      <c r="B11" s="119" t="s">
        <v>140</v>
      </c>
      <c r="C11" s="119">
        <v>825.25</v>
      </c>
      <c r="D11" s="119"/>
      <c r="E11" s="120">
        <v>171224.11365175</v>
      </c>
      <c r="F11" s="119"/>
      <c r="G11" s="120">
        <v>168215.11365175</v>
      </c>
      <c r="H11" s="120">
        <v>12667</v>
      </c>
      <c r="I11" s="121">
        <v>15036.777777777777</v>
      </c>
      <c r="J11" s="121">
        <v>10984</v>
      </c>
      <c r="K11" s="121">
        <v>13241.439024390244</v>
      </c>
      <c r="L11" s="121">
        <v>15693.243902439024</v>
      </c>
      <c r="M11" s="121">
        <v>5068.9130000000005</v>
      </c>
      <c r="N11" s="121">
        <v>4497.7269999999999</v>
      </c>
      <c r="O11" s="121">
        <v>5358.0320000000002</v>
      </c>
      <c r="P11" s="121">
        <v>5453.0769230769238</v>
      </c>
      <c r="Q11" s="3" t="s">
        <v>404</v>
      </c>
      <c r="R11" s="3">
        <v>0.21053134556574926</v>
      </c>
      <c r="S11" s="80">
        <v>0.18708279606677025</v>
      </c>
      <c r="T11" s="80">
        <v>0.20552066864441398</v>
      </c>
      <c r="U11" s="80">
        <v>0.18516151254653268</v>
      </c>
      <c r="V11" s="3">
        <v>0.81252999999999997</v>
      </c>
      <c r="W11" s="3">
        <v>0.81126999999999994</v>
      </c>
      <c r="X11" s="4">
        <v>0.31054026623736647</v>
      </c>
      <c r="Y11" s="4">
        <v>0.31146696185868394</v>
      </c>
      <c r="Z11" s="3">
        <v>0.31246546143522541</v>
      </c>
      <c r="AA11" s="4">
        <v>0.33710101159379602</v>
      </c>
      <c r="AB11" s="4">
        <v>0.3396705593489765</v>
      </c>
      <c r="AC11" s="4">
        <v>0.34142284624578234</v>
      </c>
      <c r="AD11" s="5">
        <v>0.52299680700097473</v>
      </c>
      <c r="AE11" s="5">
        <v>0.52418380766056627</v>
      </c>
      <c r="AF11" s="6">
        <v>11.186912258578966</v>
      </c>
      <c r="AG11" s="6">
        <v>12.703688272996912</v>
      </c>
      <c r="AH11" s="6">
        <v>10.718951078406818</v>
      </c>
      <c r="AI11" s="7">
        <v>0.59796584687489562</v>
      </c>
      <c r="AJ11" s="6">
        <v>33.185638351210599</v>
      </c>
      <c r="AK11" s="6">
        <v>37.400027536520113</v>
      </c>
      <c r="AL11" s="6">
        <v>31.394943824850241</v>
      </c>
      <c r="AM11" s="6">
        <v>1.7738476786164012</v>
      </c>
      <c r="AN11" s="6">
        <v>30.847742664307372</v>
      </c>
      <c r="AO11" s="6" t="s">
        <v>293</v>
      </c>
      <c r="AP11" s="6" t="s">
        <v>297</v>
      </c>
      <c r="AQ11" s="6"/>
      <c r="AR11" s="6" t="s">
        <v>362</v>
      </c>
      <c r="AS11" s="119" t="s">
        <v>396</v>
      </c>
    </row>
    <row r="12" spans="1:45" s="122" customFormat="1" ht="12.75" x14ac:dyDescent="0.2">
      <c r="A12" s="119" t="s">
        <v>94</v>
      </c>
      <c r="B12" s="119" t="s">
        <v>227</v>
      </c>
      <c r="C12" s="119">
        <v>251.35499999999999</v>
      </c>
      <c r="D12" s="119"/>
      <c r="E12" s="120">
        <v>85159.073999999993</v>
      </c>
      <c r="F12" s="119"/>
      <c r="G12" s="120">
        <v>84271.635999999999</v>
      </c>
      <c r="H12" s="120">
        <v>4115.9070000000002</v>
      </c>
      <c r="I12" s="121">
        <v>5119.9000219587169</v>
      </c>
      <c r="J12" s="121">
        <v>3626.3960000000002</v>
      </c>
      <c r="K12" s="121">
        <v>4525.1469009661832</v>
      </c>
      <c r="L12" s="121">
        <v>5597.3323891084756</v>
      </c>
      <c r="M12" s="121">
        <v>1372.444</v>
      </c>
      <c r="N12" s="121">
        <v>1080.1189999999999</v>
      </c>
      <c r="O12" s="121">
        <v>1414.3803333333333</v>
      </c>
      <c r="P12" s="121">
        <v>678.48571428571427</v>
      </c>
      <c r="Q12" s="3" t="s">
        <v>404</v>
      </c>
      <c r="R12" s="3">
        <v>0.28365202887720975</v>
      </c>
      <c r="S12" s="80">
        <v>0.24392995807697226</v>
      </c>
      <c r="T12" s="80">
        <v>0.24783584058833696</v>
      </c>
      <c r="U12" s="80">
        <v>0.23693937713124091</v>
      </c>
      <c r="V12" s="3">
        <v>0.72431666666666661</v>
      </c>
      <c r="W12" s="3">
        <v>0.72641250000000002</v>
      </c>
      <c r="X12" s="4">
        <v>9.4271856657054842E-2</v>
      </c>
      <c r="Y12" s="4">
        <v>0.10812299346577266</v>
      </c>
      <c r="Z12" s="3">
        <v>0.17864640770551909</v>
      </c>
      <c r="AA12" s="4">
        <v>0.26806070316094666</v>
      </c>
      <c r="AB12" s="4">
        <v>0.23869258250364847</v>
      </c>
      <c r="AC12" s="4">
        <v>0.25268828702856633</v>
      </c>
      <c r="AD12" s="5">
        <v>0.46229843658272884</v>
      </c>
      <c r="AE12" s="5">
        <v>0.51199066123791892</v>
      </c>
      <c r="AF12" s="6">
        <v>16.459625312714653</v>
      </c>
      <c r="AG12" s="6">
        <v>18.622961385409788</v>
      </c>
      <c r="AH12" s="6">
        <v>15.0556783377702</v>
      </c>
      <c r="AI12" s="7">
        <v>0.67476850496242891</v>
      </c>
      <c r="AJ12" s="6">
        <v>61.402604404988473</v>
      </c>
      <c r="AK12" s="6">
        <v>78.020695867770129</v>
      </c>
      <c r="AL12" s="6">
        <v>59.582019075020135</v>
      </c>
      <c r="AM12" s="6">
        <v>2.5172227671032044</v>
      </c>
      <c r="AN12" s="6">
        <v>124.20546848022909</v>
      </c>
      <c r="AO12" s="6" t="s">
        <v>295</v>
      </c>
      <c r="AP12" s="6" t="s">
        <v>298</v>
      </c>
      <c r="AQ12" s="6"/>
      <c r="AR12" s="6" t="s">
        <v>367</v>
      </c>
      <c r="AS12" s="119" t="s">
        <v>396</v>
      </c>
    </row>
    <row r="13" spans="1:45" s="122" customFormat="1" ht="12.75" x14ac:dyDescent="0.2">
      <c r="A13" s="119" t="s">
        <v>100</v>
      </c>
      <c r="B13" s="119" t="s">
        <v>233</v>
      </c>
      <c r="C13" s="119">
        <v>479.71</v>
      </c>
      <c r="D13" s="129"/>
      <c r="E13" s="120">
        <v>24214.298643919996</v>
      </c>
      <c r="F13" s="119"/>
      <c r="G13" s="120">
        <v>23523.908643919996</v>
      </c>
      <c r="H13" s="120">
        <v>1302.8510000000001</v>
      </c>
      <c r="I13" s="121">
        <v>1517.3585562987737</v>
      </c>
      <c r="J13" s="121">
        <v>1000.742</v>
      </c>
      <c r="K13" s="121">
        <v>1339.9565217391305</v>
      </c>
      <c r="L13" s="121">
        <v>1593.9629629629628</v>
      </c>
      <c r="M13" s="121">
        <v>360.93600000000004</v>
      </c>
      <c r="N13" s="121">
        <v>255.721</v>
      </c>
      <c r="O13" s="121">
        <v>386.291</v>
      </c>
      <c r="P13" s="121">
        <v>404.06238095238098</v>
      </c>
      <c r="Q13" s="3" t="s">
        <v>404</v>
      </c>
      <c r="R13" s="3">
        <v>0.43255133254605482</v>
      </c>
      <c r="S13" s="80">
        <v>0.16464473397094026</v>
      </c>
      <c r="T13" s="80">
        <v>0.33896301118483141</v>
      </c>
      <c r="U13" s="80">
        <v>0.18956319634472707</v>
      </c>
      <c r="V13" s="3">
        <v>0.8427</v>
      </c>
      <c r="W13" s="3">
        <v>0.84332000000000007</v>
      </c>
      <c r="X13" s="4">
        <v>0.17573256757195238</v>
      </c>
      <c r="Y13" s="4">
        <v>0.18921957850221902</v>
      </c>
      <c r="Z13" s="3">
        <v>0.15784383632510546</v>
      </c>
      <c r="AA13" s="4">
        <v>0.23787126549733598</v>
      </c>
      <c r="AB13" s="4">
        <v>0.19084275933677278</v>
      </c>
      <c r="AC13" s="4">
        <v>0.24234628343053655</v>
      </c>
      <c r="AD13" s="5">
        <v>0.59039516887116028</v>
      </c>
      <c r="AE13" s="5">
        <v>0.40251599946827621</v>
      </c>
      <c r="AF13" s="6">
        <v>15.503197017124837</v>
      </c>
      <c r="AG13" s="6">
        <v>17.555725325616013</v>
      </c>
      <c r="AH13" s="6">
        <v>14.758127503911517</v>
      </c>
      <c r="AI13" s="7">
        <v>0.94161511535869391</v>
      </c>
      <c r="AJ13" s="6">
        <v>65.174736363011704</v>
      </c>
      <c r="AK13" s="6">
        <v>91.990523437339903</v>
      </c>
      <c r="AL13" s="6">
        <v>60.89685921732579</v>
      </c>
      <c r="AM13" s="6">
        <v>3.9585071924933248</v>
      </c>
      <c r="AN13" s="6">
        <v>58.218507222755548</v>
      </c>
      <c r="AO13" s="6" t="s">
        <v>295</v>
      </c>
      <c r="AP13" s="6" t="s">
        <v>298</v>
      </c>
      <c r="AQ13" s="6"/>
      <c r="AR13" s="6" t="s">
        <v>339</v>
      </c>
      <c r="AS13" s="119" t="s">
        <v>397</v>
      </c>
    </row>
    <row r="14" spans="1:45" s="122" customFormat="1" ht="12.75" x14ac:dyDescent="0.2">
      <c r="A14" s="119" t="s">
        <v>21</v>
      </c>
      <c r="B14" s="119" t="s">
        <v>154</v>
      </c>
      <c r="C14" s="119">
        <v>36.479999999999997</v>
      </c>
      <c r="D14" s="129"/>
      <c r="E14" s="120">
        <v>20926.191557759998</v>
      </c>
      <c r="F14" s="119"/>
      <c r="G14" s="120">
        <v>20301.570557759998</v>
      </c>
      <c r="H14" s="120">
        <v>1426.635</v>
      </c>
      <c r="I14" s="121">
        <v>1727.6666666666665</v>
      </c>
      <c r="J14" s="121">
        <v>1249.1990000000001</v>
      </c>
      <c r="K14" s="121">
        <v>1551.2405567765568</v>
      </c>
      <c r="L14" s="121">
        <v>1868.2074175824175</v>
      </c>
      <c r="M14" s="121">
        <v>244.89099999999999</v>
      </c>
      <c r="N14" s="121">
        <v>186.60033333333331</v>
      </c>
      <c r="O14" s="121">
        <v>257.34066666666666</v>
      </c>
      <c r="P14" s="121">
        <v>287.85000000000002</v>
      </c>
      <c r="Q14" s="3" t="s">
        <v>404</v>
      </c>
      <c r="R14" s="3">
        <v>0.3031772043670804</v>
      </c>
      <c r="S14" s="80">
        <v>0.21100818826586099</v>
      </c>
      <c r="T14" s="80">
        <v>0.2417881832890969</v>
      </c>
      <c r="U14" s="80">
        <v>0.20433121054062098</v>
      </c>
      <c r="V14" s="3">
        <v>0.77430833333333327</v>
      </c>
      <c r="W14" s="3">
        <v>0.77359083333333345</v>
      </c>
      <c r="X14" s="4">
        <v>0.14998791278176149</v>
      </c>
      <c r="Y14" s="4">
        <v>0.15881373620919742</v>
      </c>
      <c r="Z14" s="3">
        <v>0.11890427474441606</v>
      </c>
      <c r="AA14" s="4">
        <v>0.14174667181169207</v>
      </c>
      <c r="AB14" s="4">
        <v>0.1202910357895004</v>
      </c>
      <c r="AC14" s="4">
        <v>0.13774737443216145</v>
      </c>
      <c r="AD14" s="5">
        <v>0.42208147911149646</v>
      </c>
      <c r="AE14" s="5">
        <v>0.35275486007755308</v>
      </c>
      <c r="AF14" s="6">
        <v>11.7508608283388</v>
      </c>
      <c r="AG14" s="6">
        <v>13.087312905192608</v>
      </c>
      <c r="AH14" s="6">
        <v>10.866871829484307</v>
      </c>
      <c r="AI14" s="7">
        <v>0.55689122421795467</v>
      </c>
      <c r="AJ14" s="6">
        <v>82.900435531563019</v>
      </c>
      <c r="AK14" s="6">
        <v>108.79707552019379</v>
      </c>
      <c r="AL14" s="6">
        <v>78.889865409638574</v>
      </c>
      <c r="AM14" s="6">
        <v>3.9287781300274536</v>
      </c>
      <c r="AN14" s="6">
        <v>70.528297925169355</v>
      </c>
      <c r="AO14" s="6" t="s">
        <v>294</v>
      </c>
      <c r="AP14" s="6" t="s">
        <v>297</v>
      </c>
      <c r="AQ14" s="6"/>
      <c r="AR14" s="6"/>
      <c r="AS14" s="119" t="s">
        <v>396</v>
      </c>
    </row>
    <row r="15" spans="1:45" s="122" customFormat="1" ht="12.75" x14ac:dyDescent="0.2">
      <c r="A15" s="119" t="s">
        <v>16</v>
      </c>
      <c r="B15" s="119" t="s">
        <v>149</v>
      </c>
      <c r="C15" s="119">
        <v>275.86</v>
      </c>
      <c r="D15" s="129"/>
      <c r="E15" s="120">
        <v>45215.664466179995</v>
      </c>
      <c r="F15" s="119"/>
      <c r="G15" s="120">
        <v>38897.399466179995</v>
      </c>
      <c r="H15" s="120">
        <v>2968.2170000000001</v>
      </c>
      <c r="I15" s="121">
        <v>3315.309764309764</v>
      </c>
      <c r="J15" s="121">
        <v>2746.6190000000001</v>
      </c>
      <c r="K15" s="121">
        <v>3114.6491940418682</v>
      </c>
      <c r="L15" s="121">
        <v>3475.7668093983311</v>
      </c>
      <c r="M15" s="121">
        <v>1393.559</v>
      </c>
      <c r="N15" s="121">
        <v>1334.0159999999998</v>
      </c>
      <c r="O15" s="121">
        <v>1476.7810000000002</v>
      </c>
      <c r="P15" s="121">
        <v>1484.0706766917292</v>
      </c>
      <c r="Q15" s="3" t="s">
        <v>404</v>
      </c>
      <c r="R15" s="3">
        <v>0.15331072729808909</v>
      </c>
      <c r="S15" s="80">
        <v>0.11693645185300272</v>
      </c>
      <c r="T15" s="80">
        <v>0.13399390088027063</v>
      </c>
      <c r="U15" s="80">
        <v>0.11594166561269836</v>
      </c>
      <c r="V15" s="3">
        <v>0.7796966666666667</v>
      </c>
      <c r="W15" s="3">
        <v>0.78359250000000003</v>
      </c>
      <c r="X15" s="4">
        <v>0.44365991606482819</v>
      </c>
      <c r="Y15" s="4">
        <v>0.44176985517213085</v>
      </c>
      <c r="Z15" s="3">
        <v>0.44742281308947424</v>
      </c>
      <c r="AA15" s="4">
        <v>0.42034051086328406</v>
      </c>
      <c r="AB15" s="4">
        <v>0.42830377255707969</v>
      </c>
      <c r="AC15" s="4">
        <v>0.42487919385352457</v>
      </c>
      <c r="AD15" s="5">
        <v>0.60073354038756333</v>
      </c>
      <c r="AE15" s="5">
        <v>0.53727696271628678</v>
      </c>
      <c r="AF15" s="6">
        <v>11.732659157500565</v>
      </c>
      <c r="AG15" s="6">
        <v>12.488533071585822</v>
      </c>
      <c r="AH15" s="6">
        <v>11.1910267860902</v>
      </c>
      <c r="AI15" s="7">
        <v>1.0033363396598809</v>
      </c>
      <c r="AJ15" s="6">
        <v>27.912273155409995</v>
      </c>
      <c r="AK15" s="6">
        <v>29.158120641866365</v>
      </c>
      <c r="AL15" s="6">
        <v>26.339314675757603</v>
      </c>
      <c r="AM15" s="6">
        <v>2.3869608418166877</v>
      </c>
      <c r="AN15" s="6">
        <v>26.209937354796043</v>
      </c>
      <c r="AO15" s="6" t="s">
        <v>294</v>
      </c>
      <c r="AP15" s="6" t="s">
        <v>297</v>
      </c>
      <c r="AQ15" s="6"/>
      <c r="AR15" s="6" t="s">
        <v>346</v>
      </c>
      <c r="AS15" s="119" t="s">
        <v>396</v>
      </c>
    </row>
    <row r="16" spans="1:45" s="122" customFormat="1" ht="12.75" x14ac:dyDescent="0.2">
      <c r="A16" s="119" t="s">
        <v>90</v>
      </c>
      <c r="B16" s="119" t="s">
        <v>223</v>
      </c>
      <c r="C16" s="119">
        <v>201.22499999999999</v>
      </c>
      <c r="D16" s="129"/>
      <c r="E16" s="120">
        <v>135569.28128155429</v>
      </c>
      <c r="F16" s="119"/>
      <c r="G16" s="120">
        <v>127527.88128155429</v>
      </c>
      <c r="H16" s="120">
        <v>9221.5</v>
      </c>
      <c r="I16" s="121">
        <v>10505.673469387755</v>
      </c>
      <c r="J16" s="121">
        <v>9221.5</v>
      </c>
      <c r="K16" s="121">
        <v>9756.2708140610539</v>
      </c>
      <c r="L16" s="121">
        <v>11084.499116440144</v>
      </c>
      <c r="M16" s="121">
        <v>4058.5140000000001</v>
      </c>
      <c r="N16" s="121">
        <v>3705.4716666666668</v>
      </c>
      <c r="O16" s="121">
        <v>4370.5336666666662</v>
      </c>
      <c r="P16" s="121">
        <v>3398.6666666666665</v>
      </c>
      <c r="Q16" s="3" t="s">
        <v>404</v>
      </c>
      <c r="R16" s="3">
        <v>0.14873871068203051</v>
      </c>
      <c r="S16" s="80">
        <v>0.1392586313926969</v>
      </c>
      <c r="T16" s="80">
        <v>5.7991738227083811E-2</v>
      </c>
      <c r="U16" s="80">
        <v>0.13614098334220115</v>
      </c>
      <c r="V16" s="3">
        <v>0.77325416666666669</v>
      </c>
      <c r="W16" s="3">
        <v>0.76719333333333328</v>
      </c>
      <c r="X16" s="4">
        <v>0.2899376603257573</v>
      </c>
      <c r="Y16" s="4">
        <v>0.29818541778742069</v>
      </c>
      <c r="Z16" s="3">
        <v>0.37627284064414679</v>
      </c>
      <c r="AA16" s="4">
        <v>0.3863164043529444</v>
      </c>
      <c r="AB16" s="4">
        <v>0.37980410110451435</v>
      </c>
      <c r="AC16" s="4">
        <v>0.39429239163224278</v>
      </c>
      <c r="AD16" s="5">
        <v>0.52501155132617727</v>
      </c>
      <c r="AE16" s="5">
        <v>0.52557503574564124</v>
      </c>
      <c r="AF16" s="6">
        <v>12.138953457210992</v>
      </c>
      <c r="AG16" s="6">
        <v>13.071375704101712</v>
      </c>
      <c r="AH16" s="6">
        <v>11.505064860568158</v>
      </c>
      <c r="AI16" s="7">
        <v>0.87168409855904927</v>
      </c>
      <c r="AJ16" s="6">
        <v>31.422309072126964</v>
      </c>
      <c r="AK16" s="6">
        <v>34.416099420961061</v>
      </c>
      <c r="AL16" s="6">
        <v>29.179018172125808</v>
      </c>
      <c r="AM16" s="6">
        <v>2.2563993885247124</v>
      </c>
      <c r="AN16" s="6">
        <v>37.522915245651518</v>
      </c>
      <c r="AO16" s="6" t="s">
        <v>295</v>
      </c>
      <c r="AP16" s="6" t="s">
        <v>298</v>
      </c>
      <c r="AQ16" s="6"/>
      <c r="AR16" s="6" t="s">
        <v>339</v>
      </c>
      <c r="AS16" s="119" t="s">
        <v>397</v>
      </c>
    </row>
    <row r="17" spans="1:45" s="122" customFormat="1" ht="12.75" x14ac:dyDescent="0.2">
      <c r="A17" s="119" t="s">
        <v>106</v>
      </c>
      <c r="B17" s="119" t="s">
        <v>239</v>
      </c>
      <c r="C17" s="119">
        <v>18.4392</v>
      </c>
      <c r="D17" s="129"/>
      <c r="E17" s="120">
        <v>10263.909476246399</v>
      </c>
      <c r="F17" s="119"/>
      <c r="G17" s="120">
        <v>9992.8574762463995</v>
      </c>
      <c r="H17" s="120">
        <v>970.20699999999999</v>
      </c>
      <c r="I17" s="121">
        <v>1150.233918128655</v>
      </c>
      <c r="J17" s="121">
        <v>861.61099999999999</v>
      </c>
      <c r="K17" s="121">
        <v>1038.6675429061784</v>
      </c>
      <c r="L17" s="121">
        <v>1242.800994787694</v>
      </c>
      <c r="M17" s="121">
        <v>158.655</v>
      </c>
      <c r="N17" s="121">
        <v>15.373999999999967</v>
      </c>
      <c r="O17" s="121">
        <v>190.36733333333333</v>
      </c>
      <c r="P17" s="121">
        <v>194.44444444444443</v>
      </c>
      <c r="Q17" s="3" t="s">
        <v>404</v>
      </c>
      <c r="R17" s="3">
        <v>0.25985365441925995</v>
      </c>
      <c r="S17" s="80">
        <v>0.18555516310298215</v>
      </c>
      <c r="T17" s="80">
        <v>0.20549475680577234</v>
      </c>
      <c r="U17" s="80">
        <v>0.19653396630682507</v>
      </c>
      <c r="V17" s="3">
        <v>0.77759</v>
      </c>
      <c r="W17" s="3">
        <v>0.7828991666666667</v>
      </c>
      <c r="X17" s="4">
        <v>0.16862758559869714</v>
      </c>
      <c r="Y17" s="4">
        <v>0.17449615900657256</v>
      </c>
      <c r="Z17" s="3" t="e">
        <v>#VALUE!</v>
      </c>
      <c r="AA17" s="4">
        <v>0.1379328130560781</v>
      </c>
      <c r="AB17" s="4">
        <v>1.4801656319194988E-2</v>
      </c>
      <c r="AC17" s="4">
        <v>0.15317603874774299</v>
      </c>
      <c r="AD17" s="5" t="e">
        <v>#VALUE!</v>
      </c>
      <c r="AE17" s="5">
        <v>0.32348797615906022</v>
      </c>
      <c r="AF17" s="6">
        <v>8.6876741493626231</v>
      </c>
      <c r="AG17" s="6">
        <v>9.6208431124039109</v>
      </c>
      <c r="AH17" s="6">
        <v>8.0405934000346253</v>
      </c>
      <c r="AI17" s="7">
        <v>0.46819899829685735</v>
      </c>
      <c r="AJ17" s="6">
        <v>62.984825415186407</v>
      </c>
      <c r="AK17" s="6">
        <v>649.98422507131659</v>
      </c>
      <c r="AL17" s="6">
        <v>52.492501214737821</v>
      </c>
      <c r="AM17" s="6">
        <v>3.3943989680432742</v>
      </c>
      <c r="AN17" s="6">
        <v>51.391838449267205</v>
      </c>
      <c r="AO17" s="6" t="s">
        <v>295</v>
      </c>
      <c r="AP17" s="6" t="s">
        <v>298</v>
      </c>
      <c r="AQ17" s="6"/>
      <c r="AR17" s="6" t="s">
        <v>339</v>
      </c>
      <c r="AS17" s="119" t="s">
        <v>397</v>
      </c>
    </row>
    <row r="18" spans="1:45" s="122" customFormat="1" ht="12.75" x14ac:dyDescent="0.2">
      <c r="A18" s="119" t="s">
        <v>93</v>
      </c>
      <c r="B18" s="119" t="s">
        <v>226</v>
      </c>
      <c r="C18" s="119">
        <v>73.099999999999994</v>
      </c>
      <c r="D18" s="129"/>
      <c r="E18" s="120">
        <v>36879.1869171</v>
      </c>
      <c r="F18" s="119"/>
      <c r="G18" s="120">
        <v>53745.615917100004</v>
      </c>
      <c r="H18" s="120">
        <v>4306.5259999999998</v>
      </c>
      <c r="I18" s="121">
        <v>9765.8261904761912</v>
      </c>
      <c r="J18" s="121">
        <v>1915.4259999999999</v>
      </c>
      <c r="K18" s="121">
        <v>5120.96</v>
      </c>
      <c r="L18" s="121">
        <v>11889.84</v>
      </c>
      <c r="M18" s="121">
        <v>-21153.343000000001</v>
      </c>
      <c r="N18" s="121">
        <v>-11604.669</v>
      </c>
      <c r="O18" s="121">
        <v>-18426.446</v>
      </c>
      <c r="P18" s="121">
        <v>6513.3888888888896</v>
      </c>
      <c r="Q18" s="3" t="s">
        <v>404</v>
      </c>
      <c r="R18" s="3" t="e">
        <v>#VALUE!</v>
      </c>
      <c r="S18" s="80">
        <v>1.2676807687858362</v>
      </c>
      <c r="T18" s="80">
        <v>1.6735358087443735</v>
      </c>
      <c r="U18" s="80">
        <v>1.3217990376804347</v>
      </c>
      <c r="V18" s="3">
        <v>0.73143000000000002</v>
      </c>
      <c r="W18" s="3">
        <v>0.74430000000000007</v>
      </c>
      <c r="X18" s="4">
        <v>0.13918581672186464</v>
      </c>
      <c r="Y18" s="4">
        <v>0.20106241967932284</v>
      </c>
      <c r="Z18" s="3" t="e">
        <v>#VALUE!</v>
      </c>
      <c r="AA18" s="4">
        <v>-2.166057698285591</v>
      </c>
      <c r="AB18" s="4">
        <v>-2.2661120180591139</v>
      </c>
      <c r="AC18" s="4">
        <v>-1.5497640001883961</v>
      </c>
      <c r="AD18" s="5" t="e">
        <v>#VALUE!</v>
      </c>
      <c r="AE18" s="5">
        <v>-0.89837692949975478</v>
      </c>
      <c r="AF18" s="6">
        <v>5.5034376886119158</v>
      </c>
      <c r="AG18" s="6">
        <v>10.495222754542118</v>
      </c>
      <c r="AH18" s="6">
        <v>4.5202976589340143</v>
      </c>
      <c r="AI18" s="7">
        <v>4.3413435181185386E-2</v>
      </c>
      <c r="AJ18" s="6">
        <v>-2.5407622765394575</v>
      </c>
      <c r="AK18" s="6">
        <v>-4.6313786215789525</v>
      </c>
      <c r="AL18" s="6">
        <v>-2.9167651709450646</v>
      </c>
      <c r="AM18" s="6">
        <v>-2.0042603304402558E-2</v>
      </c>
      <c r="AN18" s="6">
        <v>8.2515594929060647</v>
      </c>
      <c r="AO18" s="6" t="s">
        <v>295</v>
      </c>
      <c r="AP18" s="6" t="s">
        <v>298</v>
      </c>
      <c r="AQ18" s="6"/>
      <c r="AR18" s="6"/>
      <c r="AS18" s="119" t="s">
        <v>396</v>
      </c>
    </row>
    <row r="19" spans="1:45" s="122" customFormat="1" ht="12.75" x14ac:dyDescent="0.2">
      <c r="A19" s="119" t="s">
        <v>9</v>
      </c>
      <c r="B19" s="119" t="s">
        <v>142</v>
      </c>
      <c r="C19" s="119">
        <v>137.55000000000001</v>
      </c>
      <c r="D19" s="129"/>
      <c r="E19" s="120">
        <v>179092.20132488172</v>
      </c>
      <c r="F19" s="119"/>
      <c r="G19" s="120">
        <v>173858.20132488172</v>
      </c>
      <c r="H19" s="120">
        <v>10696</v>
      </c>
      <c r="I19" s="121">
        <v>13352.138235294116</v>
      </c>
      <c r="J19" s="121">
        <v>8880</v>
      </c>
      <c r="K19" s="121">
        <v>11473.229166666666</v>
      </c>
      <c r="L19" s="121">
        <v>14206.458333333334</v>
      </c>
      <c r="M19" s="121">
        <v>2352.8719999999998</v>
      </c>
      <c r="N19" s="121">
        <v>1958.3530000000001</v>
      </c>
      <c r="O19" s="121">
        <v>2590.2190000000001</v>
      </c>
      <c r="P19" s="121">
        <v>2364.8857142857141</v>
      </c>
      <c r="Q19" s="3" t="s">
        <v>404</v>
      </c>
      <c r="R19" s="3">
        <v>0.30248416950803703</v>
      </c>
      <c r="S19" s="80">
        <v>0.24833005191605428</v>
      </c>
      <c r="T19" s="80">
        <v>0.29203031156156145</v>
      </c>
      <c r="U19" s="80">
        <v>0.23822666896670697</v>
      </c>
      <c r="V19" s="3">
        <v>0.48411000000000004</v>
      </c>
      <c r="W19" s="3">
        <v>0.48086000000000001</v>
      </c>
      <c r="X19" s="4">
        <v>0.16662423213458868</v>
      </c>
      <c r="Y19" s="4">
        <v>0.17953193823231803</v>
      </c>
      <c r="Z19" s="3">
        <v>0.17791697830964848</v>
      </c>
      <c r="AA19" s="4">
        <v>0.17621686942849207</v>
      </c>
      <c r="AB19" s="4">
        <v>0.1706889116875335</v>
      </c>
      <c r="AC19" s="4">
        <v>0.18232686424894781</v>
      </c>
      <c r="AD19" s="5">
        <v>0.4804011478176855</v>
      </c>
      <c r="AE19" s="5">
        <v>0.42454692134454636</v>
      </c>
      <c r="AF19" s="6">
        <v>13.021000701244764</v>
      </c>
      <c r="AG19" s="6">
        <v>15.153379994360646</v>
      </c>
      <c r="AH19" s="6">
        <v>12.237969326735673</v>
      </c>
      <c r="AI19" s="7">
        <v>0.52434252724460406</v>
      </c>
      <c r="AJ19" s="6">
        <v>73.891907985169496</v>
      </c>
      <c r="AK19" s="6">
        <v>88.777764440262672</v>
      </c>
      <c r="AL19" s="6">
        <v>67.121043172365631</v>
      </c>
      <c r="AM19" s="6">
        <v>2.9755523914660147</v>
      </c>
      <c r="AN19" s="6">
        <v>73.516534128751147</v>
      </c>
      <c r="AO19" s="6" t="s">
        <v>293</v>
      </c>
      <c r="AP19" s="6" t="s">
        <v>297</v>
      </c>
      <c r="AQ19" s="6"/>
      <c r="AR19" s="6" t="s">
        <v>348</v>
      </c>
      <c r="AS19" s="119" t="s">
        <v>396</v>
      </c>
    </row>
    <row r="20" spans="1:45" s="122" customFormat="1" ht="12.75" x14ac:dyDescent="0.2">
      <c r="A20" s="119" t="s">
        <v>25</v>
      </c>
      <c r="B20" s="119" t="s">
        <v>158</v>
      </c>
      <c r="C20" s="119">
        <v>41.52</v>
      </c>
      <c r="D20" s="129"/>
      <c r="E20" s="120">
        <v>13852.450920720001</v>
      </c>
      <c r="F20" s="119"/>
      <c r="G20" s="120">
        <v>14970.333920720001</v>
      </c>
      <c r="H20" s="120">
        <v>1460.019</v>
      </c>
      <c r="I20" s="121">
        <v>1602.8041666666666</v>
      </c>
      <c r="J20" s="121">
        <v>1353.095</v>
      </c>
      <c r="K20" s="121">
        <v>1491</v>
      </c>
      <c r="L20" s="121">
        <v>1643.4375</v>
      </c>
      <c r="M20" s="121">
        <v>464.20800000000003</v>
      </c>
      <c r="N20" s="121">
        <v>452.81299999999999</v>
      </c>
      <c r="O20" s="121">
        <v>520.49099999999999</v>
      </c>
      <c r="P20" s="121">
        <v>573.64166666666677</v>
      </c>
      <c r="Q20" s="3" t="s">
        <v>404</v>
      </c>
      <c r="R20" s="3">
        <v>0.11119829760547477</v>
      </c>
      <c r="S20" s="80">
        <v>9.7796786662821988E-2</v>
      </c>
      <c r="T20" s="80">
        <v>0.1019181949530521</v>
      </c>
      <c r="U20" s="80">
        <v>0.10223843058350091</v>
      </c>
      <c r="V20" s="3">
        <v>0.82165999999999995</v>
      </c>
      <c r="W20" s="3">
        <v>0.82869000000000004</v>
      </c>
      <c r="X20" s="4">
        <v>0.33649496981891347</v>
      </c>
      <c r="Y20" s="4">
        <v>0.34848541547822781</v>
      </c>
      <c r="Z20" s="3">
        <v>0.31515000832180956</v>
      </c>
      <c r="AA20" s="4">
        <v>0.2896224065634968</v>
      </c>
      <c r="AB20" s="4">
        <v>0.30369751844399728</v>
      </c>
      <c r="AC20" s="4">
        <v>0.31670872789503707</v>
      </c>
      <c r="AD20" s="5">
        <v>0.42634830592728434</v>
      </c>
      <c r="AE20" s="5">
        <v>0.38741919322631879</v>
      </c>
      <c r="AF20" s="6">
        <v>9.3400892211639501</v>
      </c>
      <c r="AG20" s="6">
        <v>10.040465406250838</v>
      </c>
      <c r="AH20" s="6">
        <v>9.1091592596128539</v>
      </c>
      <c r="AI20" s="7">
        <v>0.95505072711296346</v>
      </c>
      <c r="AJ20" s="6">
        <v>32.24919415589563</v>
      </c>
      <c r="AK20" s="6">
        <v>33.060742338934617</v>
      </c>
      <c r="AL20" s="6">
        <v>28.761945779504355</v>
      </c>
      <c r="AM20" s="6">
        <v>3.2975719608336935</v>
      </c>
      <c r="AN20" s="6">
        <v>26.097012805415687</v>
      </c>
      <c r="AO20" s="6" t="s">
        <v>294</v>
      </c>
      <c r="AP20" s="6" t="s">
        <v>297</v>
      </c>
      <c r="AQ20" s="6"/>
      <c r="AR20" s="6"/>
      <c r="AS20" s="119" t="s">
        <v>396</v>
      </c>
    </row>
    <row r="21" spans="1:45" s="122" customFormat="1" ht="12.75" x14ac:dyDescent="0.2">
      <c r="A21" s="119" t="s">
        <v>97</v>
      </c>
      <c r="B21" s="119" t="s">
        <v>230</v>
      </c>
      <c r="C21" s="119">
        <v>177.33</v>
      </c>
      <c r="D21" s="129"/>
      <c r="E21" s="120">
        <v>62228.252587350005</v>
      </c>
      <c r="F21" s="119"/>
      <c r="G21" s="120">
        <v>59367.230587350008</v>
      </c>
      <c r="H21" s="120">
        <v>3211.6909999999998</v>
      </c>
      <c r="I21" s="121">
        <v>3913.8394736842106</v>
      </c>
      <c r="J21" s="121">
        <v>2684.2750000000001</v>
      </c>
      <c r="K21" s="121">
        <v>3389.65625</v>
      </c>
      <c r="L21" s="121">
        <v>4112.5777777777776</v>
      </c>
      <c r="M21" s="121">
        <v>996.63400000000001</v>
      </c>
      <c r="N21" s="121">
        <v>886.56799999999998</v>
      </c>
      <c r="O21" s="121">
        <v>1100.9960000000001</v>
      </c>
      <c r="P21" s="121">
        <v>977.54044117647049</v>
      </c>
      <c r="Q21" s="3" t="s">
        <v>404</v>
      </c>
      <c r="R21" s="3">
        <v>0.26634129762001912</v>
      </c>
      <c r="S21" s="80">
        <v>0.21862267375168121</v>
      </c>
      <c r="T21" s="80">
        <v>0.26278278119790266</v>
      </c>
      <c r="U21" s="80">
        <v>0.21327281425005196</v>
      </c>
      <c r="V21" s="3">
        <v>0.80844000000000005</v>
      </c>
      <c r="W21" s="3">
        <v>0.81147999999999998</v>
      </c>
      <c r="X21" s="4">
        <v>0.22336040712092856</v>
      </c>
      <c r="Y21" s="4">
        <v>0.23200533863594611</v>
      </c>
      <c r="Z21" s="3">
        <v>0.26922515273106912</v>
      </c>
      <c r="AA21" s="4">
        <v>0.25464355569541014</v>
      </c>
      <c r="AB21" s="4">
        <v>0.2615510053563691</v>
      </c>
      <c r="AC21" s="4">
        <v>0.26771432894210717</v>
      </c>
      <c r="AD21" s="5">
        <v>0.53556645035108819</v>
      </c>
      <c r="AE21" s="5">
        <v>0.47326622944709135</v>
      </c>
      <c r="AF21" s="6">
        <v>15.168539994172503</v>
      </c>
      <c r="AG21" s="6">
        <v>17.514233364327136</v>
      </c>
      <c r="AH21" s="6">
        <v>14.435527738378473</v>
      </c>
      <c r="AI21" s="7">
        <v>0.69382281964959536</v>
      </c>
      <c r="AJ21" s="6">
        <v>59.567735585330226</v>
      </c>
      <c r="AK21" s="6">
        <v>66.962974737809176</v>
      </c>
      <c r="AL21" s="6">
        <v>53.921386260576789</v>
      </c>
      <c r="AM21" s="6">
        <v>2.7246824203142448</v>
      </c>
      <c r="AN21" s="6">
        <v>60.731227156087286</v>
      </c>
      <c r="AO21" s="6" t="s">
        <v>295</v>
      </c>
      <c r="AP21" s="6" t="s">
        <v>298</v>
      </c>
      <c r="AQ21" s="6" t="s">
        <v>105</v>
      </c>
      <c r="AR21" s="6" t="s">
        <v>369</v>
      </c>
      <c r="AS21" s="119" t="s">
        <v>396</v>
      </c>
    </row>
    <row r="22" spans="1:45" s="122" customFormat="1" ht="12.75" x14ac:dyDescent="0.2">
      <c r="A22" s="119" t="s">
        <v>1</v>
      </c>
      <c r="B22" s="119" t="s">
        <v>134</v>
      </c>
      <c r="C22" s="119">
        <v>496.125</v>
      </c>
      <c r="D22" s="129"/>
      <c r="E22" s="120">
        <v>3687388.3640868738</v>
      </c>
      <c r="F22" s="119"/>
      <c r="G22" s="120">
        <v>3705751.3640868738</v>
      </c>
      <c r="H22" s="120">
        <v>293812</v>
      </c>
      <c r="I22" s="121">
        <v>338142.25854198745</v>
      </c>
      <c r="J22" s="121">
        <v>281724</v>
      </c>
      <c r="K22" s="121">
        <v>304460.60465116281</v>
      </c>
      <c r="L22" s="121">
        <v>350121.92661809735</v>
      </c>
      <c r="M22" s="121">
        <v>77326.391000000003</v>
      </c>
      <c r="N22" s="121">
        <v>77977.483999999997</v>
      </c>
      <c r="O22" s="121">
        <v>77651.492000000013</v>
      </c>
      <c r="P22" s="121">
        <v>198586.625</v>
      </c>
      <c r="Q22" s="3" t="s">
        <v>404</v>
      </c>
      <c r="R22" s="3">
        <v>0.15587552618120304</v>
      </c>
      <c r="S22" s="80">
        <v>0.15087967319914597</v>
      </c>
      <c r="T22" s="80">
        <v>8.0705245741089948E-2</v>
      </c>
      <c r="U22" s="80">
        <v>0.14997448362572618</v>
      </c>
      <c r="V22" s="3">
        <v>0.68328370999999999</v>
      </c>
      <c r="W22" s="3">
        <v>0.67612000000000005</v>
      </c>
      <c r="X22" s="4">
        <v>0.46241335282542378</v>
      </c>
      <c r="Y22" s="4">
        <v>0.458881723152541</v>
      </c>
      <c r="Z22" s="3">
        <v>0.26553374266537788</v>
      </c>
      <c r="AA22" s="4">
        <v>0.22868005712571507</v>
      </c>
      <c r="AB22" s="4">
        <v>0.25611682696795229</v>
      </c>
      <c r="AC22" s="4">
        <v>0.22178414459800447</v>
      </c>
      <c r="AD22" s="5">
        <v>0.42140926884658092</v>
      </c>
      <c r="AE22" s="5">
        <v>0.37955973032486101</v>
      </c>
      <c r="AF22" s="6">
        <v>10.959148909886183</v>
      </c>
      <c r="AG22" s="6">
        <v>12.17152993679677</v>
      </c>
      <c r="AH22" s="6">
        <v>10.584173918730311</v>
      </c>
      <c r="AI22" s="7">
        <v>0.72635025497577865</v>
      </c>
      <c r="AJ22" s="6">
        <v>47.92350084057167</v>
      </c>
      <c r="AK22" s="6">
        <v>47.523351280311559</v>
      </c>
      <c r="AL22" s="6">
        <v>47.722861063466411</v>
      </c>
      <c r="AM22" s="6">
        <v>3.1762728420890385</v>
      </c>
      <c r="AN22" s="6">
        <v>18.660629154087662</v>
      </c>
      <c r="AO22" s="6" t="s">
        <v>293</v>
      </c>
      <c r="AP22" s="6" t="s">
        <v>297</v>
      </c>
      <c r="AQ22" s="6"/>
      <c r="AR22" s="6"/>
      <c r="AS22" s="119" t="s">
        <v>397</v>
      </c>
    </row>
    <row r="23" spans="1:45" s="122" customFormat="1" ht="12.75" x14ac:dyDescent="0.2">
      <c r="A23" s="119" t="s">
        <v>37</v>
      </c>
      <c r="B23" s="119" t="s">
        <v>170</v>
      </c>
      <c r="C23" s="119">
        <v>80.53</v>
      </c>
      <c r="D23" s="129"/>
      <c r="E23" s="120">
        <v>6920.3871034800004</v>
      </c>
      <c r="F23" s="119"/>
      <c r="G23" s="120">
        <v>6687.72910348</v>
      </c>
      <c r="H23" s="120">
        <v>684.78099999999995</v>
      </c>
      <c r="I23" s="121">
        <v>759.4545454545455</v>
      </c>
      <c r="J23" s="121">
        <v>651</v>
      </c>
      <c r="K23" s="121">
        <v>713.06758695652172</v>
      </c>
      <c r="L23" s="121">
        <v>793.80904150197637</v>
      </c>
      <c r="M23" s="121">
        <v>288.387</v>
      </c>
      <c r="N23" s="121">
        <v>252.18366666666668</v>
      </c>
      <c r="O23" s="121">
        <v>298.62233333333336</v>
      </c>
      <c r="P23" s="121">
        <v>343.34924242424239</v>
      </c>
      <c r="Q23" s="3" t="s">
        <v>404</v>
      </c>
      <c r="R23" s="3">
        <v>0.12684610916295447</v>
      </c>
      <c r="S23" s="80">
        <v>0.10904733842578218</v>
      </c>
      <c r="T23" s="80">
        <v>9.5341915447806125E-2</v>
      </c>
      <c r="U23" s="80">
        <v>0.11323113828532172</v>
      </c>
      <c r="V23" s="3">
        <v>0.76626083333333339</v>
      </c>
      <c r="W23" s="3">
        <v>0.76986416666666668</v>
      </c>
      <c r="X23" s="4">
        <v>0.28629076738431825</v>
      </c>
      <c r="Y23" s="4">
        <v>0.31871225123358177</v>
      </c>
      <c r="Z23" s="3">
        <v>0.33777952367253178</v>
      </c>
      <c r="AA23" s="4">
        <v>0.37972911180272922</v>
      </c>
      <c r="AB23" s="4">
        <v>0.35366025784880223</v>
      </c>
      <c r="AC23" s="4">
        <v>0.37618913078680255</v>
      </c>
      <c r="AD23" s="5">
        <v>0.46462563283548625</v>
      </c>
      <c r="AE23" s="5">
        <v>0.48877645022851141</v>
      </c>
      <c r="AF23" s="6">
        <v>8.8059636267991372</v>
      </c>
      <c r="AG23" s="6">
        <v>9.3788151723796904</v>
      </c>
      <c r="AH23" s="6">
        <v>8.424858818471078</v>
      </c>
      <c r="AI23" s="7">
        <v>0.8075358604733387</v>
      </c>
      <c r="AJ23" s="6">
        <v>23.190119885709134</v>
      </c>
      <c r="AK23" s="6">
        <v>26.519279348570024</v>
      </c>
      <c r="AL23" s="6">
        <v>22.395274421805915</v>
      </c>
      <c r="AM23" s="6">
        <v>2.1266103529424858</v>
      </c>
      <c r="AN23" s="6">
        <v>19.47792008003513</v>
      </c>
      <c r="AO23" s="6" t="s">
        <v>294</v>
      </c>
      <c r="AP23" s="6" t="s">
        <v>297</v>
      </c>
      <c r="AQ23" s="6"/>
      <c r="AR23" s="6" t="s">
        <v>350</v>
      </c>
      <c r="AS23" s="119" t="s">
        <v>396</v>
      </c>
    </row>
    <row r="24" spans="1:45" s="122" customFormat="1" ht="12.75" x14ac:dyDescent="0.2">
      <c r="A24" s="119" t="s">
        <v>26</v>
      </c>
      <c r="B24" s="119" t="s">
        <v>159</v>
      </c>
      <c r="C24" s="119">
        <v>149.95500000000001</v>
      </c>
      <c r="D24" s="129">
        <v>55</v>
      </c>
      <c r="E24" s="124">
        <v>8247.5250000000015</v>
      </c>
      <c r="F24" s="129">
        <v>1738.9860000000001</v>
      </c>
      <c r="G24" s="124">
        <v>6508.5390000000016</v>
      </c>
      <c r="H24" s="120">
        <v>1166.095</v>
      </c>
      <c r="I24" s="121">
        <v>1421.1600790513835</v>
      </c>
      <c r="J24" s="121">
        <v>971.995</v>
      </c>
      <c r="K24" s="121">
        <v>1227.2608695652175</v>
      </c>
      <c r="L24" s="121">
        <v>1491.75</v>
      </c>
      <c r="M24" s="121">
        <v>383.017</v>
      </c>
      <c r="N24" s="121">
        <v>329.649</v>
      </c>
      <c r="O24" s="121">
        <v>409.32400000000001</v>
      </c>
      <c r="P24" s="121">
        <v>212.70833333333331</v>
      </c>
      <c r="Q24" s="3" t="s">
        <v>404</v>
      </c>
      <c r="R24" s="3">
        <v>0.28624437313931683</v>
      </c>
      <c r="S24" s="80">
        <v>0.21873439046680021</v>
      </c>
      <c r="T24" s="80">
        <v>0.26262055830042086</v>
      </c>
      <c r="U24" s="80">
        <v>0.21551174407482199</v>
      </c>
      <c r="V24" s="3">
        <v>0.89800000000000002</v>
      </c>
      <c r="W24" s="3">
        <v>0.89063000000000003</v>
      </c>
      <c r="X24" s="4">
        <v>0.13875778509937292</v>
      </c>
      <c r="Y24" s="4">
        <v>0.15032679738562091</v>
      </c>
      <c r="Z24" s="3">
        <v>0.28338600199812197</v>
      </c>
      <c r="AA24" s="4">
        <v>0.2695101035033729</v>
      </c>
      <c r="AB24" s="4">
        <v>0.26860548411095758</v>
      </c>
      <c r="AC24" s="4">
        <v>0.27439182168593934</v>
      </c>
      <c r="AD24" s="5">
        <v>0.56963037513743875</v>
      </c>
      <c r="AE24" s="5">
        <v>0.48824449397017311</v>
      </c>
      <c r="AF24" s="6">
        <v>4.5797367206827362</v>
      </c>
      <c r="AG24" s="6">
        <v>5.3033052396641525</v>
      </c>
      <c r="AH24" s="6">
        <v>4.3630226244343904</v>
      </c>
      <c r="AI24" s="7">
        <v>0.20937433345113854</v>
      </c>
      <c r="AJ24" s="6">
        <v>16.992820162029364</v>
      </c>
      <c r="AK24" s="6">
        <v>19.743845726818531</v>
      </c>
      <c r="AL24" s="6">
        <v>15.9007021332734</v>
      </c>
      <c r="AM24" s="6">
        <v>0.77687007176900968</v>
      </c>
      <c r="AN24" s="6">
        <v>30.598420372184144</v>
      </c>
      <c r="AO24" s="6" t="s">
        <v>293</v>
      </c>
      <c r="AP24" s="6" t="s">
        <v>297</v>
      </c>
      <c r="AQ24" s="6"/>
      <c r="AR24" s="6" t="s">
        <v>361</v>
      </c>
      <c r="AS24" s="119" t="s">
        <v>396</v>
      </c>
    </row>
    <row r="25" spans="1:45" s="122" customFormat="1" ht="12.75" x14ac:dyDescent="0.2">
      <c r="A25" s="119" t="s">
        <v>92</v>
      </c>
      <c r="B25" s="119" t="s">
        <v>225</v>
      </c>
      <c r="C25" s="119">
        <v>81.150000000000006</v>
      </c>
      <c r="D25" s="129"/>
      <c r="E25" s="120">
        <v>60347.043477300002</v>
      </c>
      <c r="F25" s="129"/>
      <c r="G25" s="120">
        <v>58219.543477300002</v>
      </c>
      <c r="H25" s="120">
        <v>6554.7</v>
      </c>
      <c r="I25" s="121">
        <v>7305.9198412698406</v>
      </c>
      <c r="J25" s="121">
        <v>5955.8</v>
      </c>
      <c r="K25" s="121">
        <v>6752.394736842105</v>
      </c>
      <c r="L25" s="121">
        <v>7511.9</v>
      </c>
      <c r="M25" s="121">
        <v>2322.3670000000002</v>
      </c>
      <c r="N25" s="121">
        <v>2151.2570000000001</v>
      </c>
      <c r="O25" s="121">
        <v>2442.1289999999999</v>
      </c>
      <c r="P25" s="121">
        <v>2631.6432748538014</v>
      </c>
      <c r="Q25" s="3" t="s">
        <v>404</v>
      </c>
      <c r="R25" s="3">
        <v>0.1477726413112001</v>
      </c>
      <c r="S25" s="80">
        <v>0.11460781443389334</v>
      </c>
      <c r="T25" s="80">
        <v>0.13375108916385781</v>
      </c>
      <c r="U25" s="80">
        <v>0.11247939327568002</v>
      </c>
      <c r="V25" s="3">
        <v>0.80879000000000001</v>
      </c>
      <c r="W25" s="3">
        <v>0.80744000000000005</v>
      </c>
      <c r="X25" s="4">
        <v>0.34671965891243267</v>
      </c>
      <c r="Y25" s="4">
        <v>0.34147925291870235</v>
      </c>
      <c r="Z25" s="3">
        <v>0.30945733595740454</v>
      </c>
      <c r="AA25" s="4">
        <v>0.31787468935552271</v>
      </c>
      <c r="AB25" s="4">
        <v>0.31859171210213921</v>
      </c>
      <c r="AC25" s="4">
        <v>0.32510137248898413</v>
      </c>
      <c r="AD25" s="5">
        <v>0.45722997726860465</v>
      </c>
      <c r="AE25" s="5">
        <v>0.43248250378941605</v>
      </c>
      <c r="AF25" s="6">
        <v>7.9688177179864699</v>
      </c>
      <c r="AG25" s="6">
        <v>8.6220586541905213</v>
      </c>
      <c r="AH25" s="6">
        <v>7.7503086405969199</v>
      </c>
      <c r="AI25" s="7">
        <v>0.69531189974684882</v>
      </c>
      <c r="AJ25" s="6">
        <v>25.069053890836372</v>
      </c>
      <c r="AK25" s="6">
        <v>27.063034996423021</v>
      </c>
      <c r="AL25" s="6">
        <v>23.839667551263673</v>
      </c>
      <c r="AM25" s="6">
        <v>2.1873773629368349</v>
      </c>
      <c r="AN25" s="6">
        <v>22.122885739722584</v>
      </c>
      <c r="AO25" s="6" t="s">
        <v>295</v>
      </c>
      <c r="AP25" s="6" t="s">
        <v>298</v>
      </c>
      <c r="AQ25" s="6"/>
      <c r="AR25" s="6"/>
      <c r="AS25" s="119" t="s">
        <v>396</v>
      </c>
    </row>
    <row r="26" spans="1:45" s="122" customFormat="1" ht="12.75" x14ac:dyDescent="0.2">
      <c r="A26" s="119" t="s">
        <v>29</v>
      </c>
      <c r="B26" s="119" t="s">
        <v>162</v>
      </c>
      <c r="C26" s="119">
        <v>171.905</v>
      </c>
      <c r="D26" s="129"/>
      <c r="E26" s="120">
        <v>10358.693950535</v>
      </c>
      <c r="F26" s="129"/>
      <c r="G26" s="120">
        <v>10142.851950535</v>
      </c>
      <c r="H26" s="120">
        <v>1066.8040000000001</v>
      </c>
      <c r="I26" s="121">
        <v>1125.2111111111112</v>
      </c>
      <c r="J26" s="121">
        <v>1042.3520000000001</v>
      </c>
      <c r="K26" s="121">
        <v>1076.1818181818182</v>
      </c>
      <c r="L26" s="121">
        <v>1147.909090909091</v>
      </c>
      <c r="M26" s="121">
        <v>337.92099999999999</v>
      </c>
      <c r="N26" s="121">
        <v>321.25200000000001</v>
      </c>
      <c r="O26" s="121">
        <v>351.07800000000003</v>
      </c>
      <c r="P26" s="121">
        <v>403.29285714285714</v>
      </c>
      <c r="Q26" s="3" t="s">
        <v>404</v>
      </c>
      <c r="R26" s="3">
        <v>4.098141501903757E-2</v>
      </c>
      <c r="S26" s="80">
        <v>5.4749617653393701E-2</v>
      </c>
      <c r="T26" s="80">
        <v>3.2455272481674236E-2</v>
      </c>
      <c r="U26" s="80">
        <v>6.6649771920932688E-2</v>
      </c>
      <c r="V26" s="3">
        <v>0.56669000000000003</v>
      </c>
      <c r="W26" s="3">
        <v>0.57434000000000007</v>
      </c>
      <c r="X26" s="4">
        <v>0.35737455651292449</v>
      </c>
      <c r="Y26" s="4">
        <v>0.35821652015522287</v>
      </c>
      <c r="Z26" s="3">
        <v>0.31233197475824992</v>
      </c>
      <c r="AA26" s="4">
        <v>0.30031786627694551</v>
      </c>
      <c r="AB26" s="4">
        <v>0.29851089711099849</v>
      </c>
      <c r="AC26" s="4">
        <v>0.30584129246851982</v>
      </c>
      <c r="AD26" s="5">
        <v>0.35331338977728749</v>
      </c>
      <c r="AE26" s="5">
        <v>0.35506748393033921</v>
      </c>
      <c r="AF26" s="6">
        <v>9.0141768512392719</v>
      </c>
      <c r="AG26" s="6">
        <v>9.4248497597469996</v>
      </c>
      <c r="AH26" s="6">
        <v>8.8359366006086155</v>
      </c>
      <c r="AI26" s="7">
        <v>1.6464364935488314</v>
      </c>
      <c r="AJ26" s="6">
        <v>30.015453169631364</v>
      </c>
      <c r="AK26" s="6">
        <v>31.572883438966915</v>
      </c>
      <c r="AL26" s="6">
        <v>28.890593972094518</v>
      </c>
      <c r="AM26" s="6">
        <v>5.4823128372606691</v>
      </c>
      <c r="AN26" s="6">
        <v>25.150090736524326</v>
      </c>
      <c r="AO26" s="6" t="s">
        <v>294</v>
      </c>
      <c r="AP26" s="6" t="s">
        <v>297</v>
      </c>
      <c r="AQ26" s="6"/>
      <c r="AR26" s="6" t="s">
        <v>357</v>
      </c>
      <c r="AS26" s="119" t="s">
        <v>397</v>
      </c>
    </row>
    <row r="27" spans="1:45" s="122" customFormat="1" ht="12.75" x14ac:dyDescent="0.2">
      <c r="A27" s="119" t="s">
        <v>6</v>
      </c>
      <c r="B27" s="119" t="s">
        <v>139</v>
      </c>
      <c r="C27" s="119">
        <v>653.90899999999999</v>
      </c>
      <c r="D27" s="129"/>
      <c r="E27" s="120">
        <v>182313.1823865</v>
      </c>
      <c r="F27" s="129"/>
      <c r="G27" s="120">
        <v>184400.1823865</v>
      </c>
      <c r="H27" s="120">
        <v>18831</v>
      </c>
      <c r="I27" s="121">
        <v>21120.444444444442</v>
      </c>
      <c r="J27" s="121">
        <v>18831</v>
      </c>
      <c r="K27" s="121">
        <v>19652.517826086962</v>
      </c>
      <c r="L27" s="121">
        <v>22001.312410373761</v>
      </c>
      <c r="M27" s="121">
        <v>6857.75</v>
      </c>
      <c r="N27" s="121">
        <v>6172.0006666666668</v>
      </c>
      <c r="O27" s="121">
        <v>7180.9613333333327</v>
      </c>
      <c r="P27" s="121">
        <v>9027.25</v>
      </c>
      <c r="Q27" s="3" t="s">
        <v>404</v>
      </c>
      <c r="R27" s="3">
        <v>0.15634019035922628</v>
      </c>
      <c r="S27" s="80">
        <v>0.12157848465001542</v>
      </c>
      <c r="T27" s="80">
        <v>4.3625820513353508E-2</v>
      </c>
      <c r="U27" s="80">
        <v>0.11951621695867298</v>
      </c>
      <c r="V27" s="3">
        <v>0.81368601416666664</v>
      </c>
      <c r="W27" s="3">
        <v>0.8276300000000002</v>
      </c>
      <c r="X27" s="4">
        <v>0.40298347876257284</v>
      </c>
      <c r="Y27" s="4">
        <v>0.42017069228597093</v>
      </c>
      <c r="Z27" s="3">
        <v>0.32303117200361109</v>
      </c>
      <c r="AA27" s="4">
        <v>0.32469723911533854</v>
      </c>
      <c r="AB27" s="4">
        <v>0.31405648483747395</v>
      </c>
      <c r="AC27" s="4">
        <v>0.32638786265984127</v>
      </c>
      <c r="AD27" s="5">
        <v>0.47937136236283739</v>
      </c>
      <c r="AE27" s="5">
        <v>0.44627572376535396</v>
      </c>
      <c r="AF27" s="6">
        <v>8.7308855110293351</v>
      </c>
      <c r="AG27" s="6">
        <v>9.3830309183958729</v>
      </c>
      <c r="AH27" s="6">
        <v>8.381326483939846</v>
      </c>
      <c r="AI27" s="7">
        <v>0.71812751542040443</v>
      </c>
      <c r="AJ27" s="6">
        <v>26.889312440158946</v>
      </c>
      <c r="AK27" s="6">
        <v>29.876889576891383</v>
      </c>
      <c r="AL27" s="6">
        <v>25.679038477833334</v>
      </c>
      <c r="AM27" s="6">
        <v>2.2116834666564942</v>
      </c>
      <c r="AN27" s="6">
        <v>20.427060554044697</v>
      </c>
      <c r="AO27" s="6" t="s">
        <v>293</v>
      </c>
      <c r="AP27" s="6" t="s">
        <v>297</v>
      </c>
      <c r="AQ27" s="6"/>
      <c r="AR27" s="6"/>
      <c r="AS27" s="119" t="s">
        <v>396</v>
      </c>
    </row>
    <row r="28" spans="1:45" s="122" customFormat="1" ht="12.75" x14ac:dyDescent="0.2">
      <c r="A28" s="119" t="s">
        <v>39</v>
      </c>
      <c r="B28" s="119" t="s">
        <v>172</v>
      </c>
      <c r="C28" s="119">
        <v>20.63</v>
      </c>
      <c r="D28" s="129"/>
      <c r="E28" s="120">
        <v>5053.8750355099992</v>
      </c>
      <c r="F28" s="129"/>
      <c r="G28" s="120">
        <v>4508.4890355099997</v>
      </c>
      <c r="H28" s="120">
        <v>570.67700000000002</v>
      </c>
      <c r="I28" s="121">
        <v>675.33333333333326</v>
      </c>
      <c r="J28" s="121">
        <v>489.40699999999998</v>
      </c>
      <c r="K28" s="121">
        <v>595.16666666666663</v>
      </c>
      <c r="L28" s="121">
        <v>705.21052631578948</v>
      </c>
      <c r="M28" s="121">
        <v>112.06100000000001</v>
      </c>
      <c r="N28" s="121">
        <v>90.085000000000008</v>
      </c>
      <c r="O28" s="121">
        <v>115.166</v>
      </c>
      <c r="P28" s="121">
        <v>40.58625</v>
      </c>
      <c r="Q28" s="3" t="s">
        <v>404</v>
      </c>
      <c r="R28" s="3">
        <v>0.24188185216940933</v>
      </c>
      <c r="S28" s="80">
        <v>0.18338978675035666</v>
      </c>
      <c r="T28" s="80">
        <v>0.21609757659099005</v>
      </c>
      <c r="U28" s="80">
        <v>0.18489587171513211</v>
      </c>
      <c r="V28" s="3">
        <v>0.69957999999999998</v>
      </c>
      <c r="W28" s="3">
        <v>0.71686000000000005</v>
      </c>
      <c r="X28" s="4">
        <v>2.9947913749649963E-2</v>
      </c>
      <c r="Y28" s="4">
        <v>6.1940368684230161E-2</v>
      </c>
      <c r="Z28" s="3">
        <v>0.16590470616478326</v>
      </c>
      <c r="AA28" s="4">
        <v>0.1659343534057256</v>
      </c>
      <c r="AB28" s="4">
        <v>0.1513609633155979</v>
      </c>
      <c r="AC28" s="4">
        <v>0.16330726173595045</v>
      </c>
      <c r="AD28" s="5">
        <v>0.40778655833419258</v>
      </c>
      <c r="AE28" s="5">
        <v>0.34932414015608226</v>
      </c>
      <c r="AF28" s="6">
        <v>6.6759462519891413</v>
      </c>
      <c r="AG28" s="6">
        <v>7.575170600128815</v>
      </c>
      <c r="AH28" s="6">
        <v>6.3931108048876775</v>
      </c>
      <c r="AI28" s="7">
        <v>0.36403042777278094</v>
      </c>
      <c r="AJ28" s="6">
        <v>40.232454069747725</v>
      </c>
      <c r="AK28" s="6">
        <v>50.047055952822326</v>
      </c>
      <c r="AL28" s="6">
        <v>39.147743565896185</v>
      </c>
      <c r="AM28" s="6">
        <v>2.1938219561002614</v>
      </c>
      <c r="AN28" s="6">
        <v>111.08414883143921</v>
      </c>
      <c r="AO28" s="6" t="s">
        <v>293</v>
      </c>
      <c r="AP28" s="6" t="s">
        <v>297</v>
      </c>
      <c r="AQ28" s="6"/>
      <c r="AR28" s="6" t="s">
        <v>358</v>
      </c>
      <c r="AS28" s="119" t="s">
        <v>397</v>
      </c>
    </row>
    <row r="29" spans="1:45" s="122" customFormat="1" ht="12.75" x14ac:dyDescent="0.2">
      <c r="A29" s="119" t="s">
        <v>2</v>
      </c>
      <c r="B29" s="119" t="s">
        <v>135</v>
      </c>
      <c r="C29" s="119">
        <v>218.08510000000001</v>
      </c>
      <c r="D29" s="129"/>
      <c r="E29" s="120">
        <v>621715.3903406855</v>
      </c>
      <c r="F29" s="129"/>
      <c r="G29" s="120">
        <v>716631.3903406855</v>
      </c>
      <c r="H29" s="120">
        <v>59018</v>
      </c>
      <c r="I29" s="121">
        <v>70550.191397849456</v>
      </c>
      <c r="J29" s="121">
        <v>57399</v>
      </c>
      <c r="K29" s="121">
        <v>62113.737634408601</v>
      </c>
      <c r="L29" s="121">
        <v>76012.792635235732</v>
      </c>
      <c r="M29" s="121">
        <v>-8910.4629999999997</v>
      </c>
      <c r="N29" s="121">
        <v>-9247.6196666666656</v>
      </c>
      <c r="O29" s="121">
        <v>-10116.317666666666</v>
      </c>
      <c r="P29" s="121">
        <v>38527.414285714287</v>
      </c>
      <c r="Q29" s="3" t="s">
        <v>404</v>
      </c>
      <c r="R29" s="3">
        <v>9.6683080925392545E-2</v>
      </c>
      <c r="S29" s="80">
        <v>0.19540125720711399</v>
      </c>
      <c r="T29" s="80">
        <v>8.2139717319266836E-2</v>
      </c>
      <c r="U29" s="80">
        <v>0.22376780934734142</v>
      </c>
      <c r="V29" s="3">
        <v>0.6913912499999999</v>
      </c>
      <c r="W29" s="3">
        <v>0.65862833333333337</v>
      </c>
      <c r="X29" s="4">
        <v>0.42839675000643984</v>
      </c>
      <c r="Y29" s="4">
        <v>0.41371525208362242</v>
      </c>
      <c r="Z29" s="3">
        <v>-9.9630621166423794E-2</v>
      </c>
      <c r="AA29" s="4">
        <v>-0.12629962900811653</v>
      </c>
      <c r="AB29" s="4">
        <v>-0.1488820350998141</v>
      </c>
      <c r="AC29" s="4">
        <v>-0.13308704121965448</v>
      </c>
      <c r="AD29" s="5">
        <v>-2.947540241031249E-3</v>
      </c>
      <c r="AE29" s="5">
        <v>6.9101628198997456E-2</v>
      </c>
      <c r="AF29" s="6">
        <v>10.157752603383159</v>
      </c>
      <c r="AG29" s="6">
        <v>11.537405695317544</v>
      </c>
      <c r="AH29" s="6">
        <v>9.4277734772829671</v>
      </c>
      <c r="AI29" s="7">
        <v>0.51984069849747849</v>
      </c>
      <c r="AJ29" s="6">
        <v>-80.425830884510205</v>
      </c>
      <c r="AK29" s="6">
        <v>-77.493605508432154</v>
      </c>
      <c r="AL29" s="6">
        <v>-70.839154517852947</v>
      </c>
      <c r="AM29" s="6">
        <v>-4.1159321098565655</v>
      </c>
      <c r="AN29" s="6">
        <v>18.600557645167683</v>
      </c>
      <c r="AO29" s="6" t="s">
        <v>293</v>
      </c>
      <c r="AP29" s="6" t="s">
        <v>297</v>
      </c>
      <c r="AQ29" s="6"/>
      <c r="AR29" s="6"/>
      <c r="AS29" s="119" t="s">
        <v>397</v>
      </c>
    </row>
    <row r="30" spans="1:45" s="122" customFormat="1" ht="12.75" x14ac:dyDescent="0.2">
      <c r="A30" s="119" t="s">
        <v>12</v>
      </c>
      <c r="B30" s="119" t="s">
        <v>145</v>
      </c>
      <c r="C30" s="119">
        <v>383.47</v>
      </c>
      <c r="D30" s="129"/>
      <c r="E30" s="120">
        <v>71229.043635310009</v>
      </c>
      <c r="F30" s="129"/>
      <c r="G30" s="120">
        <v>83775.302635310014</v>
      </c>
      <c r="H30" s="120">
        <v>6435.3040000000001</v>
      </c>
      <c r="I30" s="121">
        <v>9311.128947368421</v>
      </c>
      <c r="J30" s="121">
        <v>6127.4359999999997</v>
      </c>
      <c r="K30" s="121">
        <v>7642.1397191075512</v>
      </c>
      <c r="L30" s="121">
        <v>9765.8042011732214</v>
      </c>
      <c r="M30" s="121">
        <v>2113.2370000000001</v>
      </c>
      <c r="N30" s="121">
        <v>1325.3626666666669</v>
      </c>
      <c r="O30" s="121">
        <v>2613.9086666666667</v>
      </c>
      <c r="P30" s="121">
        <v>3761.4545454545455</v>
      </c>
      <c r="Q30" s="3" t="s">
        <v>404</v>
      </c>
      <c r="R30" s="3">
        <v>7.9960455344192313E-2</v>
      </c>
      <c r="S30" s="80">
        <v>0.44688253225774899</v>
      </c>
      <c r="T30" s="80">
        <v>0.24720025131352674</v>
      </c>
      <c r="U30" s="80">
        <v>0.27788872751906091</v>
      </c>
      <c r="V30" s="3">
        <v>0.82370499999999991</v>
      </c>
      <c r="W30" s="3">
        <v>0.82858833333333337</v>
      </c>
      <c r="X30" s="4">
        <v>0.37737969198895061</v>
      </c>
      <c r="Y30" s="4">
        <v>0.3909969851270696</v>
      </c>
      <c r="Z30" s="3">
        <v>0.20238220292312531</v>
      </c>
      <c r="AA30" s="4">
        <v>0.22695819292646124</v>
      </c>
      <c r="AB30" s="4">
        <v>0.17342821714615847</v>
      </c>
      <c r="AC30" s="4">
        <v>0.26765933586428481</v>
      </c>
      <c r="AD30" s="5">
        <v>0.28234265826731764</v>
      </c>
      <c r="AE30" s="5">
        <v>0.67384072518421023</v>
      </c>
      <c r="AF30" s="6">
        <v>8.9973303032160459</v>
      </c>
      <c r="AG30" s="6">
        <v>10.962283563835875</v>
      </c>
      <c r="AH30" s="6">
        <v>8.5784335738827959</v>
      </c>
      <c r="AI30" s="7">
        <v>0.20133546634189417</v>
      </c>
      <c r="AJ30" s="6">
        <v>39.643117471116589</v>
      </c>
      <c r="AK30" s="6">
        <v>63.20934242550215</v>
      </c>
      <c r="AL30" s="6">
        <v>32.049820142393401</v>
      </c>
      <c r="AM30" s="6">
        <v>0.88710376014991743</v>
      </c>
      <c r="AN30" s="6">
        <v>22.272049714530407</v>
      </c>
      <c r="AO30" s="6" t="s">
        <v>294</v>
      </c>
      <c r="AP30" s="6" t="s">
        <v>297</v>
      </c>
      <c r="AQ30" s="6"/>
      <c r="AR30" s="6"/>
      <c r="AS30" s="119" t="s">
        <v>397</v>
      </c>
    </row>
    <row r="31" spans="1:45" s="122" customFormat="1" ht="12.75" x14ac:dyDescent="0.2">
      <c r="A31" s="119" t="s">
        <v>17</v>
      </c>
      <c r="B31" s="119" t="s">
        <v>150</v>
      </c>
      <c r="C31" s="119">
        <v>66.959999999999994</v>
      </c>
      <c r="D31" s="129"/>
      <c r="E31" s="120">
        <v>28379.174085359999</v>
      </c>
      <c r="F31" s="129"/>
      <c r="G31" s="120">
        <v>27629.974085359998</v>
      </c>
      <c r="H31" s="120">
        <v>3056.5</v>
      </c>
      <c r="I31" s="121">
        <v>3707.4822841417276</v>
      </c>
      <c r="J31" s="121">
        <v>2736.2</v>
      </c>
      <c r="K31" s="121">
        <v>3238.8888888888887</v>
      </c>
      <c r="L31" s="121">
        <v>3825.5789473684213</v>
      </c>
      <c r="M31" s="121">
        <v>470.56799999999998</v>
      </c>
      <c r="N31" s="121">
        <v>72.841000000000008</v>
      </c>
      <c r="O31" s="121">
        <v>560.37700000000007</v>
      </c>
      <c r="P31" s="121">
        <v>685.88125000000002</v>
      </c>
      <c r="Q31" s="3" t="s">
        <v>404</v>
      </c>
      <c r="R31" s="3">
        <v>0.1460872173684804</v>
      </c>
      <c r="S31" s="80">
        <v>0.21298291645402512</v>
      </c>
      <c r="T31" s="80">
        <v>0.1837178893680611</v>
      </c>
      <c r="U31" s="80">
        <v>0.18113929764376646</v>
      </c>
      <c r="V31" s="3">
        <v>0.79100000000000004</v>
      </c>
      <c r="W31" s="3">
        <v>0.79769000000000001</v>
      </c>
      <c r="X31" s="4">
        <v>-2.9099485420240139E-2</v>
      </c>
      <c r="Y31" s="4">
        <v>9.1576465894395068E-2</v>
      </c>
      <c r="Z31" s="3">
        <v>-1.2694258138393583E-2</v>
      </c>
      <c r="AA31" s="4">
        <v>0.12692387014573023</v>
      </c>
      <c r="AB31" s="4">
        <v>2.2489502572898803E-2</v>
      </c>
      <c r="AC31" s="4">
        <v>0.14648161956910546</v>
      </c>
      <c r="AD31" s="5">
        <v>0.13339295923008682</v>
      </c>
      <c r="AE31" s="5">
        <v>0.33990678659975537</v>
      </c>
      <c r="AF31" s="6">
        <v>7.4524898483112416</v>
      </c>
      <c r="AG31" s="6">
        <v>8.5306952579156086</v>
      </c>
      <c r="AH31" s="6">
        <v>7.2224294585180084</v>
      </c>
      <c r="AI31" s="7">
        <v>0.34991021685628715</v>
      </c>
      <c r="AJ31" s="6">
        <v>58.71621972883834</v>
      </c>
      <c r="AK31" s="6">
        <v>379.31898361307498</v>
      </c>
      <c r="AL31" s="6">
        <v>49.306045903668412</v>
      </c>
      <c r="AM31" s="6">
        <v>2.7568511459233838</v>
      </c>
      <c r="AN31" s="6">
        <v>40.283903496939153</v>
      </c>
      <c r="AO31" s="6" t="s">
        <v>294</v>
      </c>
      <c r="AP31" s="6" t="s">
        <v>297</v>
      </c>
      <c r="AQ31" s="6"/>
      <c r="AR31" s="6" t="s">
        <v>351</v>
      </c>
      <c r="AS31" s="119" t="s">
        <v>396</v>
      </c>
    </row>
    <row r="32" spans="1:45" s="122" customFormat="1" ht="12.75" x14ac:dyDescent="0.2">
      <c r="A32" s="119" t="s">
        <v>3</v>
      </c>
      <c r="B32" s="119" t="s">
        <v>136</v>
      </c>
      <c r="C32" s="119">
        <v>237.83500000000001</v>
      </c>
      <c r="D32" s="129"/>
      <c r="E32" s="120">
        <v>292181.30401771999</v>
      </c>
      <c r="F32" s="129"/>
      <c r="G32" s="120">
        <v>251382.06549485269</v>
      </c>
      <c r="H32" s="120">
        <v>36492</v>
      </c>
      <c r="I32" s="121">
        <v>39658.088888888895</v>
      </c>
      <c r="J32" s="121">
        <v>34176</v>
      </c>
      <c r="K32" s="121">
        <v>36984.111111111117</v>
      </c>
      <c r="L32" s="121">
        <v>40916.81481481481</v>
      </c>
      <c r="M32" s="121">
        <v>8020.71</v>
      </c>
      <c r="N32" s="121">
        <v>8020.71</v>
      </c>
      <c r="O32" s="121">
        <v>9453.86</v>
      </c>
      <c r="P32" s="121">
        <v>12696.964285714284</v>
      </c>
      <c r="Q32" s="3" t="s">
        <v>404</v>
      </c>
      <c r="R32" s="3">
        <v>9.6942916403643248E-2</v>
      </c>
      <c r="S32" s="80">
        <v>8.6761177487912233E-2</v>
      </c>
      <c r="T32" s="80">
        <v>8.2166172492717626E-2</v>
      </c>
      <c r="U32" s="80">
        <v>0.10633495264733273</v>
      </c>
      <c r="V32" s="3">
        <v>0.73799999999999999</v>
      </c>
      <c r="W32" s="3">
        <v>0.73699999999999999</v>
      </c>
      <c r="X32" s="4">
        <v>0.28431804047984566</v>
      </c>
      <c r="Y32" s="4">
        <v>0.3037565376545367</v>
      </c>
      <c r="Z32" s="3">
        <v>0.17381891921517045</v>
      </c>
      <c r="AA32" s="4">
        <v>0.20224650820849771</v>
      </c>
      <c r="AB32" s="4">
        <v>0.2168690759094746</v>
      </c>
      <c r="AC32" s="4">
        <v>0.23105073165609724</v>
      </c>
      <c r="AD32" s="5">
        <v>0.27076183561881373</v>
      </c>
      <c r="AE32" s="5">
        <v>0.28900768569640994</v>
      </c>
      <c r="AF32" s="6">
        <v>6.3387337246420623</v>
      </c>
      <c r="AG32" s="6">
        <v>6.7970287224053392</v>
      </c>
      <c r="AH32" s="6">
        <v>6.1437349567062203</v>
      </c>
      <c r="AI32" s="7">
        <v>0.73059563138423156</v>
      </c>
      <c r="AJ32" s="6">
        <v>31.341622561450631</v>
      </c>
      <c r="AK32" s="6">
        <v>31.341622561450631</v>
      </c>
      <c r="AL32" s="6">
        <v>26.590415501694828</v>
      </c>
      <c r="AM32" s="6">
        <v>3.6124017064910414</v>
      </c>
      <c r="AN32" s="6">
        <v>19.798595935068494</v>
      </c>
      <c r="AO32" s="6" t="s">
        <v>293</v>
      </c>
      <c r="AP32" s="6" t="s">
        <v>297</v>
      </c>
      <c r="AQ32" s="6"/>
      <c r="AR32" s="6"/>
      <c r="AS32" s="119" t="s">
        <v>397</v>
      </c>
    </row>
    <row r="33" spans="1:45" s="122" customFormat="1" ht="12.75" x14ac:dyDescent="0.2">
      <c r="A33" s="119" t="s">
        <v>119</v>
      </c>
      <c r="B33" s="119" t="s">
        <v>252</v>
      </c>
      <c r="C33" s="119">
        <v>57.034999999999997</v>
      </c>
      <c r="D33" s="129">
        <v>122.8</v>
      </c>
      <c r="E33" s="124">
        <v>7003.8979999999992</v>
      </c>
      <c r="F33" s="129">
        <v>651</v>
      </c>
      <c r="G33" s="124">
        <v>6352.8979999999992</v>
      </c>
      <c r="H33" s="120">
        <v>502.61200000000002</v>
      </c>
      <c r="I33" s="121">
        <v>587.65441176470586</v>
      </c>
      <c r="J33" s="121">
        <v>428.488</v>
      </c>
      <c r="K33" s="121">
        <v>524.15384615384619</v>
      </c>
      <c r="L33" s="121">
        <v>611.05555555555554</v>
      </c>
      <c r="M33" s="121">
        <v>136.48699999999999</v>
      </c>
      <c r="N33" s="121">
        <v>124.98700000000001</v>
      </c>
      <c r="O33" s="121">
        <v>150.23699999999999</v>
      </c>
      <c r="P33" s="121">
        <v>116.29999999999998</v>
      </c>
      <c r="Q33" s="3" t="s">
        <v>404</v>
      </c>
      <c r="R33" s="3">
        <v>0.22687040788927679</v>
      </c>
      <c r="S33" s="80">
        <v>0.16920091793412384</v>
      </c>
      <c r="T33" s="80">
        <v>0.22326376970614392</v>
      </c>
      <c r="U33" s="80">
        <v>0.1657942797508396</v>
      </c>
      <c r="V33" s="3">
        <v>0.83216999999999997</v>
      </c>
      <c r="W33" s="3">
        <v>0.82722000000000007</v>
      </c>
      <c r="X33" s="4">
        <v>0.16783049603756972</v>
      </c>
      <c r="Y33" s="4">
        <v>0.1752802982089281</v>
      </c>
      <c r="Z33" s="3">
        <v>0.28033154799328314</v>
      </c>
      <c r="AA33" s="4">
        <v>0.23225725403836289</v>
      </c>
      <c r="AB33" s="4">
        <v>0.23845479894335192</v>
      </c>
      <c r="AC33" s="4">
        <v>0.24586471497408854</v>
      </c>
      <c r="AD33" s="5">
        <v>0.5072019558825599</v>
      </c>
      <c r="AE33" s="5">
        <v>0.40145817197248673</v>
      </c>
      <c r="AF33" s="6">
        <v>10.810602069543673</v>
      </c>
      <c r="AG33" s="6">
        <v>12.12029263281479</v>
      </c>
      <c r="AH33" s="6">
        <v>10.396596417856168</v>
      </c>
      <c r="AI33" s="7">
        <v>0.63892100595770063</v>
      </c>
      <c r="AJ33" s="6">
        <v>46.545810223684306</v>
      </c>
      <c r="AK33" s="6">
        <v>50.828470160896721</v>
      </c>
      <c r="AL33" s="6">
        <v>42.285841703441889</v>
      </c>
      <c r="AM33" s="6">
        <v>2.7509194862528057</v>
      </c>
      <c r="AN33" s="6">
        <v>54.625090283748925</v>
      </c>
      <c r="AO33" s="6" t="s">
        <v>295</v>
      </c>
      <c r="AP33" s="6" t="s">
        <v>298</v>
      </c>
      <c r="AQ33" s="6"/>
      <c r="AR33" s="6" t="s">
        <v>368</v>
      </c>
      <c r="AS33" s="119" t="s">
        <v>397</v>
      </c>
    </row>
    <row r="34" spans="1:45" s="122" customFormat="1" ht="12.75" x14ac:dyDescent="0.2">
      <c r="A34" s="119" t="s">
        <v>14</v>
      </c>
      <c r="B34" s="119" t="s">
        <v>147</v>
      </c>
      <c r="C34" s="119">
        <v>292.87</v>
      </c>
      <c r="D34" s="129"/>
      <c r="E34" s="120">
        <v>62381.31</v>
      </c>
      <c r="F34" s="129"/>
      <c r="G34" s="120">
        <v>62597.31</v>
      </c>
      <c r="H34" s="120">
        <v>6605</v>
      </c>
      <c r="I34" s="121">
        <v>7453.0184615384615</v>
      </c>
      <c r="J34" s="121">
        <v>6131</v>
      </c>
      <c r="K34" s="121">
        <v>6988.1146153846157</v>
      </c>
      <c r="L34" s="121">
        <v>7791.4633924676455</v>
      </c>
      <c r="M34" s="121">
        <v>2358.7559999999999</v>
      </c>
      <c r="N34" s="121">
        <v>2201.5753333333332</v>
      </c>
      <c r="O34" s="121">
        <v>2519.6423333333332</v>
      </c>
      <c r="P34" s="121">
        <v>2913.8461538461538</v>
      </c>
      <c r="Q34" s="3" t="s">
        <v>404</v>
      </c>
      <c r="R34" s="3">
        <v>0.13781223083548666</v>
      </c>
      <c r="S34" s="80">
        <v>0.12839038024806371</v>
      </c>
      <c r="T34" s="80">
        <v>0.13980013299373928</v>
      </c>
      <c r="U34" s="80">
        <v>0.11495930180000546</v>
      </c>
      <c r="V34" s="3">
        <v>0.92637291666666666</v>
      </c>
      <c r="W34" s="3">
        <v>0.92833250000000012</v>
      </c>
      <c r="X34" s="4">
        <v>0.31826257234490485</v>
      </c>
      <c r="Y34" s="4">
        <v>0.37800481351345794</v>
      </c>
      <c r="Z34" s="3">
        <v>0.28523845571536716</v>
      </c>
      <c r="AA34" s="4">
        <v>0.31648331641366984</v>
      </c>
      <c r="AB34" s="4">
        <v>0.31504568177609399</v>
      </c>
      <c r="AC34" s="4">
        <v>0.3233849928332056</v>
      </c>
      <c r="AD34" s="5">
        <v>0.42305068655085382</v>
      </c>
      <c r="AE34" s="5">
        <v>0.44487369666173354</v>
      </c>
      <c r="AF34" s="6">
        <v>8.3989205612511775</v>
      </c>
      <c r="AG34" s="6">
        <v>8.957682214053774</v>
      </c>
      <c r="AH34" s="6">
        <v>8.0340889569622576</v>
      </c>
      <c r="AI34" s="7">
        <v>0.65417054961778132</v>
      </c>
      <c r="AJ34" s="6">
        <v>26.53827271663538</v>
      </c>
      <c r="AK34" s="6">
        <v>28.43296300255302</v>
      </c>
      <c r="AL34" s="6">
        <v>24.843728481568878</v>
      </c>
      <c r="AM34" s="6">
        <v>2.0669985294350441</v>
      </c>
      <c r="AN34" s="6">
        <v>21.48270934530095</v>
      </c>
      <c r="AO34" s="6" t="s">
        <v>294</v>
      </c>
      <c r="AP34" s="6" t="s">
        <v>297</v>
      </c>
      <c r="AQ34" s="6"/>
      <c r="AR34" s="6" t="s">
        <v>350</v>
      </c>
      <c r="AS34" s="119" t="s">
        <v>397</v>
      </c>
    </row>
    <row r="35" spans="1:45" s="122" customFormat="1" ht="12.75" x14ac:dyDescent="0.2">
      <c r="A35" s="119" t="s">
        <v>118</v>
      </c>
      <c r="B35" s="119" t="s">
        <v>251</v>
      </c>
      <c r="C35" s="119">
        <v>33.090000000000003</v>
      </c>
      <c r="D35" s="129"/>
      <c r="E35" s="120">
        <v>3901.2219217200004</v>
      </c>
      <c r="F35" s="129"/>
      <c r="G35" s="120">
        <v>3318.3159217200005</v>
      </c>
      <c r="H35" s="120">
        <v>608.67700000000002</v>
      </c>
      <c r="I35" s="121">
        <v>693.5763888888888</v>
      </c>
      <c r="J35" s="121">
        <v>550.95000000000005</v>
      </c>
      <c r="K35" s="121">
        <v>618.89473684210532</v>
      </c>
      <c r="L35" s="121">
        <v>718.42105263157896</v>
      </c>
      <c r="M35" s="121">
        <v>130.00900000000001</v>
      </c>
      <c r="N35" s="121">
        <v>122.901</v>
      </c>
      <c r="O35" s="121">
        <v>149.529</v>
      </c>
      <c r="P35" s="121">
        <v>27.076892857142855</v>
      </c>
      <c r="Q35" s="3" t="s">
        <v>404</v>
      </c>
      <c r="R35" s="3">
        <v>0.11370177573256983</v>
      </c>
      <c r="S35" s="80">
        <v>0.13948184158246302</v>
      </c>
      <c r="T35" s="80">
        <v>0.12332287293239896</v>
      </c>
      <c r="U35" s="80">
        <v>0.1608129943022365</v>
      </c>
      <c r="V35" s="3">
        <v>0.80147000000000002</v>
      </c>
      <c r="W35" s="3">
        <v>0.80376000000000003</v>
      </c>
      <c r="X35" s="4">
        <v>-1.0549451483969725E-2</v>
      </c>
      <c r="Y35" s="4">
        <v>4.4926300366300367E-2</v>
      </c>
      <c r="Z35" s="3">
        <v>0.22012003082094445</v>
      </c>
      <c r="AA35" s="4">
        <v>0.187447269086358</v>
      </c>
      <c r="AB35" s="4">
        <v>0.19858142699209114</v>
      </c>
      <c r="AC35" s="4">
        <v>0.20813560439560438</v>
      </c>
      <c r="AD35" s="5">
        <v>0.33382180655351429</v>
      </c>
      <c r="AE35" s="5">
        <v>0.32692911066882102</v>
      </c>
      <c r="AF35" s="6">
        <v>4.7843553714911655</v>
      </c>
      <c r="AG35" s="6">
        <v>5.361680628682711</v>
      </c>
      <c r="AH35" s="6">
        <v>4.6189012829802207</v>
      </c>
      <c r="AI35" s="7">
        <v>0.34300919153426923</v>
      </c>
      <c r="AJ35" s="6">
        <v>25.52374006199571</v>
      </c>
      <c r="AK35" s="6">
        <v>26.999909860131329</v>
      </c>
      <c r="AL35" s="6">
        <v>22.191788360251191</v>
      </c>
      <c r="AM35" s="6">
        <v>1.8298969795939943</v>
      </c>
      <c r="AN35" s="6">
        <v>122.55157706710916</v>
      </c>
      <c r="AO35" s="6" t="s">
        <v>295</v>
      </c>
      <c r="AP35" s="6" t="s">
        <v>298</v>
      </c>
      <c r="AQ35" s="6"/>
      <c r="AR35" s="6" t="s">
        <v>339</v>
      </c>
      <c r="AS35" s="119" t="s">
        <v>397</v>
      </c>
    </row>
    <row r="36" spans="1:45" s="122" customFormat="1" ht="12.75" x14ac:dyDescent="0.2">
      <c r="A36" s="119" t="s">
        <v>15</v>
      </c>
      <c r="B36" s="119" t="s">
        <v>148</v>
      </c>
      <c r="C36" s="119">
        <v>146.93</v>
      </c>
      <c r="D36" s="129"/>
      <c r="E36" s="120">
        <v>38658.913629139999</v>
      </c>
      <c r="F36" s="129"/>
      <c r="G36" s="120">
        <v>37106.279629140001</v>
      </c>
      <c r="H36" s="120">
        <v>5460.076</v>
      </c>
      <c r="I36" s="121">
        <v>6592.4102564102577</v>
      </c>
      <c r="J36" s="121">
        <v>5215.3040000000001</v>
      </c>
      <c r="K36" s="121">
        <v>5715.2668461538469</v>
      </c>
      <c r="L36" s="121">
        <v>6872.0064102564093</v>
      </c>
      <c r="M36" s="121">
        <v>1891.8980000000001</v>
      </c>
      <c r="N36" s="121">
        <v>1534.4450000000002</v>
      </c>
      <c r="O36" s="121">
        <v>1969.556</v>
      </c>
      <c r="P36" s="121">
        <v>1795.153846153846</v>
      </c>
      <c r="Q36" s="3" t="s">
        <v>404</v>
      </c>
      <c r="R36" s="3">
        <v>0.19512875800927584</v>
      </c>
      <c r="S36" s="80">
        <v>0.20738433978029924</v>
      </c>
      <c r="T36" s="80">
        <v>9.5864564396216823E-2</v>
      </c>
      <c r="U36" s="80">
        <v>0.20239467294182489</v>
      </c>
      <c r="V36" s="3">
        <v>0.85779499999999997</v>
      </c>
      <c r="W36" s="3">
        <v>0.86193500000000012</v>
      </c>
      <c r="X36" s="4">
        <v>0.24227670155625947</v>
      </c>
      <c r="Y36" s="4">
        <v>0.2629975719031038</v>
      </c>
      <c r="Z36" s="3">
        <v>0.26662724108602159</v>
      </c>
      <c r="AA36" s="4">
        <v>0.28698122938577381</v>
      </c>
      <c r="AB36" s="4">
        <v>0.26848177719516669</v>
      </c>
      <c r="AC36" s="4">
        <v>0.28660566978815022</v>
      </c>
      <c r="AD36" s="5">
        <v>0.46175599909529741</v>
      </c>
      <c r="AE36" s="5">
        <v>0.49436556916607305</v>
      </c>
      <c r="AF36" s="6">
        <v>5.6286362932372107</v>
      </c>
      <c r="AG36" s="6">
        <v>6.492484188049958</v>
      </c>
      <c r="AH36" s="6">
        <v>5.3996282037454453</v>
      </c>
      <c r="AI36" s="7">
        <v>0.27141086444618373</v>
      </c>
      <c r="AJ36" s="6">
        <v>19.613255909747775</v>
      </c>
      <c r="AK36" s="6">
        <v>24.182215478000188</v>
      </c>
      <c r="AL36" s="6">
        <v>18.839921093454567</v>
      </c>
      <c r="AM36" s="6">
        <v>0.94574430887722039</v>
      </c>
      <c r="AN36" s="6">
        <v>20.670250468304413</v>
      </c>
      <c r="AO36" s="6" t="s">
        <v>293</v>
      </c>
      <c r="AP36" s="6" t="s">
        <v>297</v>
      </c>
      <c r="AQ36" s="6"/>
      <c r="AR36" s="6" t="s">
        <v>344</v>
      </c>
      <c r="AS36" s="119" t="s">
        <v>397</v>
      </c>
    </row>
    <row r="37" spans="1:45" s="122" customFormat="1" ht="12.75" x14ac:dyDescent="0.2">
      <c r="A37" s="119" t="s">
        <v>18</v>
      </c>
      <c r="B37" s="119" t="s">
        <v>151</v>
      </c>
      <c r="C37" s="119">
        <v>368.85</v>
      </c>
      <c r="D37" s="129"/>
      <c r="E37" s="120">
        <v>19322.41048635</v>
      </c>
      <c r="F37" s="129"/>
      <c r="G37" s="120">
        <v>18108.44848635</v>
      </c>
      <c r="H37" s="120">
        <v>2987.6930000000002</v>
      </c>
      <c r="I37" s="121">
        <v>3484.8226600985222</v>
      </c>
      <c r="J37" s="121">
        <v>2627.5430000000001</v>
      </c>
      <c r="K37" s="121">
        <v>3114.4482758620693</v>
      </c>
      <c r="L37" s="121">
        <v>3613.28125</v>
      </c>
      <c r="M37" s="121">
        <v>678.78100000000006</v>
      </c>
      <c r="N37" s="121">
        <v>581.15899999999999</v>
      </c>
      <c r="O37" s="121">
        <v>710.899</v>
      </c>
      <c r="P37" s="121">
        <v>812.33847117794494</v>
      </c>
      <c r="Q37" s="3" t="s">
        <v>404</v>
      </c>
      <c r="R37" s="3">
        <v>0.19208316392548469</v>
      </c>
      <c r="S37" s="80">
        <v>0.16639248413358465</v>
      </c>
      <c r="T37" s="80">
        <v>0.18530820460866648</v>
      </c>
      <c r="U37" s="80">
        <v>0.16016736511697416</v>
      </c>
      <c r="V37" s="3">
        <v>0.85531999999999997</v>
      </c>
      <c r="W37" s="3">
        <v>0.85423000000000004</v>
      </c>
      <c r="X37" s="4">
        <v>0.18444133571009419</v>
      </c>
      <c r="Y37" s="4">
        <v>0.1956410118918919</v>
      </c>
      <c r="Z37" s="3">
        <v>0.17796908852415563</v>
      </c>
      <c r="AA37" s="4">
        <v>0.1947820782308646</v>
      </c>
      <c r="AB37" s="4">
        <v>0.18660094775185729</v>
      </c>
      <c r="AC37" s="4">
        <v>0.19674610162162162</v>
      </c>
      <c r="AD37" s="5">
        <v>0.37005225244964035</v>
      </c>
      <c r="AE37" s="5">
        <v>0.36117456236444923</v>
      </c>
      <c r="AF37" s="6">
        <v>5.1963758998967373</v>
      </c>
      <c r="AG37" s="6">
        <v>5.8143359216128383</v>
      </c>
      <c r="AH37" s="6">
        <v>5.0116354729790267</v>
      </c>
      <c r="AI37" s="7">
        <v>0.31229631115579343</v>
      </c>
      <c r="AJ37" s="6">
        <v>26.677895354098005</v>
      </c>
      <c r="AK37" s="6">
        <v>31.159198233788</v>
      </c>
      <c r="AL37" s="6">
        <v>25.472603683997306</v>
      </c>
      <c r="AM37" s="6">
        <v>1.6033113210017482</v>
      </c>
      <c r="AN37" s="6">
        <v>22.291752919311506</v>
      </c>
      <c r="AO37" s="6" t="s">
        <v>293</v>
      </c>
      <c r="AP37" s="6" t="s">
        <v>297</v>
      </c>
      <c r="AQ37" s="6"/>
      <c r="AR37" s="6" t="s">
        <v>360</v>
      </c>
      <c r="AS37" s="119" t="s">
        <v>396</v>
      </c>
    </row>
    <row r="38" spans="1:45" s="122" customFormat="1" ht="12.75" x14ac:dyDescent="0.2">
      <c r="A38" s="119" t="s">
        <v>23</v>
      </c>
      <c r="B38" s="119" t="s">
        <v>156</v>
      </c>
      <c r="C38" s="119">
        <v>175.19</v>
      </c>
      <c r="D38" s="129"/>
      <c r="E38" s="120">
        <v>20986.483813759998</v>
      </c>
      <c r="F38" s="129"/>
      <c r="G38" s="120">
        <v>22171.935813759999</v>
      </c>
      <c r="H38" s="120">
        <v>2739.2260000000001</v>
      </c>
      <c r="I38" s="121">
        <v>2793.7368421052633</v>
      </c>
      <c r="J38" s="121">
        <v>2739.2260000000001</v>
      </c>
      <c r="K38" s="121">
        <v>2809.0453684210524</v>
      </c>
      <c r="L38" s="121">
        <v>2844.2877192982455</v>
      </c>
      <c r="M38" s="121">
        <v>1000.567</v>
      </c>
      <c r="N38" s="121">
        <v>890.81900000000007</v>
      </c>
      <c r="O38" s="121">
        <v>1058.4560000000001</v>
      </c>
      <c r="P38" s="121">
        <v>1271.1428571428571</v>
      </c>
      <c r="Q38" s="3" t="s">
        <v>404</v>
      </c>
      <c r="R38" s="3">
        <v>0.19175956896581725</v>
      </c>
      <c r="S38" s="80">
        <v>1.9900089333725335E-2</v>
      </c>
      <c r="T38" s="80">
        <v>2.5488721420230398E-2</v>
      </c>
      <c r="U38" s="80">
        <v>1.2546024095368313E-2</v>
      </c>
      <c r="V38" s="3">
        <v>0.85481199749999992</v>
      </c>
      <c r="W38" s="3">
        <v>0.84517249999999999</v>
      </c>
      <c r="X38" s="4">
        <v>0.48783512555735836</v>
      </c>
      <c r="Y38" s="4">
        <v>0.45413689734549517</v>
      </c>
      <c r="Z38" s="3">
        <v>0.31274819967392253</v>
      </c>
      <c r="AA38" s="4">
        <v>0.35814647425632523</v>
      </c>
      <c r="AB38" s="4">
        <v>0.31712517356055525</v>
      </c>
      <c r="AC38" s="4">
        <v>0.37213394159053176</v>
      </c>
      <c r="AD38" s="5">
        <v>0.50450776863973978</v>
      </c>
      <c r="AE38" s="5">
        <v>0.37804656359005057</v>
      </c>
      <c r="AF38" s="6">
        <v>7.9363007566066948</v>
      </c>
      <c r="AG38" s="6">
        <v>7.8930500955998131</v>
      </c>
      <c r="AH38" s="6">
        <v>7.7952506925812521</v>
      </c>
      <c r="AI38" s="7">
        <v>3.9880729294801633</v>
      </c>
      <c r="AJ38" s="6">
        <v>22.159371450147766</v>
      </c>
      <c r="AK38" s="6">
        <v>24.889383605154354</v>
      </c>
      <c r="AL38" s="6">
        <v>20.947432688519878</v>
      </c>
      <c r="AM38" s="6">
        <v>11.13531254987562</v>
      </c>
      <c r="AN38" s="6">
        <v>17.44252086944482</v>
      </c>
      <c r="AO38" s="6" t="s">
        <v>294</v>
      </c>
      <c r="AP38" s="6" t="s">
        <v>297</v>
      </c>
      <c r="AQ38" s="6"/>
      <c r="AR38" s="6" t="s">
        <v>350</v>
      </c>
      <c r="AS38" s="119" t="s">
        <v>397</v>
      </c>
    </row>
    <row r="39" spans="1:45" s="122" customFormat="1" ht="12.75" x14ac:dyDescent="0.2">
      <c r="A39" s="119" t="s">
        <v>123</v>
      </c>
      <c r="B39" s="119" t="s">
        <v>256</v>
      </c>
      <c r="C39" s="119">
        <v>12.85</v>
      </c>
      <c r="D39" s="129"/>
      <c r="E39" s="120">
        <v>2772.8926720499999</v>
      </c>
      <c r="F39" s="129"/>
      <c r="G39" s="120">
        <v>2320.19667205</v>
      </c>
      <c r="H39" s="120">
        <v>393.99299999999999</v>
      </c>
      <c r="I39" s="121">
        <v>469.56818181818181</v>
      </c>
      <c r="J39" s="121">
        <v>330.48200000000003</v>
      </c>
      <c r="K39" s="121">
        <v>415.81818181818181</v>
      </c>
      <c r="L39" s="121">
        <v>489.25</v>
      </c>
      <c r="M39" s="121">
        <v>106.011</v>
      </c>
      <c r="N39" s="121">
        <v>87.923000000000002</v>
      </c>
      <c r="O39" s="121">
        <v>111.029</v>
      </c>
      <c r="P39" s="121">
        <v>99.09999999999998</v>
      </c>
      <c r="Q39" s="3" t="s">
        <v>404</v>
      </c>
      <c r="R39" s="3">
        <v>0.24711717728687035</v>
      </c>
      <c r="S39" s="80">
        <v>0.1918185902241456</v>
      </c>
      <c r="T39" s="80">
        <v>0.258217336551406</v>
      </c>
      <c r="U39" s="80">
        <v>0.17659597726278964</v>
      </c>
      <c r="V39" s="3">
        <v>0.75080000000000002</v>
      </c>
      <c r="W39" s="3">
        <v>0.76132</v>
      </c>
      <c r="X39" s="4">
        <v>0.1869927853082641</v>
      </c>
      <c r="Y39" s="4">
        <v>0.20088502810424119</v>
      </c>
      <c r="Z39" s="3">
        <v>0.21480330868822545</v>
      </c>
      <c r="AA39" s="4">
        <v>0.22576274139683461</v>
      </c>
      <c r="AB39" s="4">
        <v>0.21144578049846963</v>
      </c>
      <c r="AC39" s="4">
        <v>0.22693714869698517</v>
      </c>
      <c r="AD39" s="5">
        <v>0.46192048597509583</v>
      </c>
      <c r="AE39" s="5">
        <v>0.41758133162098021</v>
      </c>
      <c r="AF39" s="6">
        <v>4.9411283853734087</v>
      </c>
      <c r="AG39" s="6">
        <v>5.5798345851661564</v>
      </c>
      <c r="AH39" s="6">
        <v>4.7423539541134385</v>
      </c>
      <c r="AI39" s="7">
        <v>0.25759382235056344</v>
      </c>
      <c r="AJ39" s="6">
        <v>21.886376621765667</v>
      </c>
      <c r="AK39" s="6">
        <v>26.388961614708322</v>
      </c>
      <c r="AL39" s="6">
        <v>20.897213088922715</v>
      </c>
      <c r="AM39" s="6">
        <v>1.1409935083033818</v>
      </c>
      <c r="AN39" s="6">
        <v>23.412680848133203</v>
      </c>
      <c r="AO39" s="6" t="s">
        <v>295</v>
      </c>
      <c r="AP39" s="6" t="s">
        <v>298</v>
      </c>
      <c r="AQ39" s="6"/>
      <c r="AR39" s="6"/>
      <c r="AS39" s="119" t="s">
        <v>397</v>
      </c>
    </row>
    <row r="40" spans="1:45" s="122" customFormat="1" ht="12.75" x14ac:dyDescent="0.2">
      <c r="A40" s="119" t="s">
        <v>38</v>
      </c>
      <c r="B40" s="119" t="s">
        <v>171</v>
      </c>
      <c r="C40" s="119">
        <v>236.6</v>
      </c>
      <c r="D40" s="129"/>
      <c r="E40" s="120">
        <v>8530.4984855999992</v>
      </c>
      <c r="F40" s="129"/>
      <c r="G40" s="120">
        <v>8364.8824855999992</v>
      </c>
      <c r="H40" s="120">
        <v>906.29399999999998</v>
      </c>
      <c r="I40" s="121">
        <v>1079.6666666666667</v>
      </c>
      <c r="J40" s="121">
        <v>794.202</v>
      </c>
      <c r="K40" s="121">
        <v>949</v>
      </c>
      <c r="L40" s="121">
        <v>1124.5</v>
      </c>
      <c r="M40" s="121">
        <v>235.999</v>
      </c>
      <c r="N40" s="121">
        <v>212.55199999999999</v>
      </c>
      <c r="O40" s="121">
        <v>251.376</v>
      </c>
      <c r="P40" s="121">
        <v>292.375</v>
      </c>
      <c r="Q40" s="3" t="s">
        <v>404</v>
      </c>
      <c r="R40" s="3">
        <v>0.1887880918401611</v>
      </c>
      <c r="S40" s="80">
        <v>0.19129848224380464</v>
      </c>
      <c r="T40" s="80">
        <v>0.19491011102968758</v>
      </c>
      <c r="U40" s="80">
        <v>0.18493150684931514</v>
      </c>
      <c r="V40" s="3">
        <v>0.63756000000000002</v>
      </c>
      <c r="W40" s="3">
        <v>0.6409999999999999</v>
      </c>
      <c r="X40" s="4">
        <v>0.24193888303477343</v>
      </c>
      <c r="Y40" s="4">
        <v>0.26070875944864386</v>
      </c>
      <c r="Z40" s="3">
        <v>0.23352797215914486</v>
      </c>
      <c r="AA40" s="4">
        <v>0.21858505711639392</v>
      </c>
      <c r="AB40" s="4">
        <v>0.22397471022128557</v>
      </c>
      <c r="AC40" s="4">
        <v>0.22354468652734549</v>
      </c>
      <c r="AD40" s="5">
        <v>0.42231606399930599</v>
      </c>
      <c r="AE40" s="5">
        <v>0.40988353936019856</v>
      </c>
      <c r="AF40" s="6">
        <v>7.7476528116085195</v>
      </c>
      <c r="AG40" s="6">
        <v>8.81441779304531</v>
      </c>
      <c r="AH40" s="6">
        <v>7.4387572126278343</v>
      </c>
      <c r="AI40" s="7">
        <v>0.40500336023232791</v>
      </c>
      <c r="AJ40" s="6">
        <v>35.444567500709745</v>
      </c>
      <c r="AK40" s="6">
        <v>39.354522590236741</v>
      </c>
      <c r="AL40" s="6">
        <v>33.276376764687157</v>
      </c>
      <c r="AM40" s="6">
        <v>1.852841020219733</v>
      </c>
      <c r="AN40" s="6">
        <v>28.610115384694311</v>
      </c>
      <c r="AO40" s="6" t="s">
        <v>294</v>
      </c>
      <c r="AP40" s="6" t="s">
        <v>297</v>
      </c>
      <c r="AQ40" s="6"/>
      <c r="AR40" s="6" t="s">
        <v>351</v>
      </c>
      <c r="AS40" s="119" t="s">
        <v>396</v>
      </c>
    </row>
    <row r="41" spans="1:45" s="122" customFormat="1" ht="12.75" x14ac:dyDescent="0.2">
      <c r="A41" s="119" t="s">
        <v>98</v>
      </c>
      <c r="B41" s="119" t="s">
        <v>231</v>
      </c>
      <c r="C41" s="119">
        <v>191.845</v>
      </c>
      <c r="D41" s="129"/>
      <c r="E41" s="120">
        <v>20594.99662184</v>
      </c>
      <c r="F41" s="129"/>
      <c r="G41" s="120">
        <v>17681.596621839999</v>
      </c>
      <c r="H41" s="120">
        <v>2684.2</v>
      </c>
      <c r="I41" s="121">
        <v>2845.713709677419</v>
      </c>
      <c r="J41" s="121">
        <v>2565</v>
      </c>
      <c r="K41" s="121">
        <v>2726.212121212121</v>
      </c>
      <c r="L41" s="121">
        <v>2888.6969696969695</v>
      </c>
      <c r="M41" s="121">
        <v>1195.3810000000001</v>
      </c>
      <c r="N41" s="121">
        <v>1123.5720000000001</v>
      </c>
      <c r="O41" s="121">
        <v>1192.337</v>
      </c>
      <c r="P41" s="121">
        <v>1198.3296703296705</v>
      </c>
      <c r="Q41" s="3" t="s">
        <v>404</v>
      </c>
      <c r="R41" s="3">
        <v>6.3133713561470073E-2</v>
      </c>
      <c r="S41" s="80">
        <v>6.0172010162215628E-2</v>
      </c>
      <c r="T41" s="80">
        <v>6.285072951739612E-2</v>
      </c>
      <c r="U41" s="80">
        <v>5.9600955927304966E-2</v>
      </c>
      <c r="V41" s="3">
        <v>0.88380999999999998</v>
      </c>
      <c r="W41" s="3">
        <v>0.88544</v>
      </c>
      <c r="X41" s="4">
        <v>0.41133519702106375</v>
      </c>
      <c r="Y41" s="4">
        <v>0.40351515310457692</v>
      </c>
      <c r="Z41" s="3">
        <v>0.43527140585964114</v>
      </c>
      <c r="AA41" s="4">
        <v>0.42006368944805228</v>
      </c>
      <c r="AB41" s="4">
        <v>0.41213667537375653</v>
      </c>
      <c r="AC41" s="4">
        <v>0.41275945954451521</v>
      </c>
      <c r="AD41" s="5">
        <v>0.49840511942111121</v>
      </c>
      <c r="AE41" s="5">
        <v>0.48023569961026791</v>
      </c>
      <c r="AF41" s="6">
        <v>6.213413725249378</v>
      </c>
      <c r="AG41" s="6">
        <v>6.4857743402514316</v>
      </c>
      <c r="AH41" s="6">
        <v>6.1209593139479894</v>
      </c>
      <c r="AI41" s="7">
        <v>1.0326086345626233</v>
      </c>
      <c r="AJ41" s="6">
        <v>14.791599182051579</v>
      </c>
      <c r="AK41" s="6">
        <v>15.736950210436</v>
      </c>
      <c r="AL41" s="6">
        <v>14.829361683685065</v>
      </c>
      <c r="AM41" s="6">
        <v>2.4582192188985248</v>
      </c>
      <c r="AN41" s="6">
        <v>14.755202228261313</v>
      </c>
      <c r="AO41" s="6" t="s">
        <v>295</v>
      </c>
      <c r="AP41" s="6" t="s">
        <v>298</v>
      </c>
      <c r="AQ41" s="6"/>
      <c r="AR41" s="6"/>
      <c r="AS41" s="119" t="s">
        <v>397</v>
      </c>
    </row>
    <row r="42" spans="1:45" s="122" customFormat="1" ht="12.75" x14ac:dyDescent="0.2">
      <c r="A42" s="119" t="s">
        <v>105</v>
      </c>
      <c r="B42" s="119" t="s">
        <v>238</v>
      </c>
      <c r="C42" s="119">
        <v>45.17</v>
      </c>
      <c r="D42" s="125">
        <v>304.3</v>
      </c>
      <c r="E42" s="124">
        <v>13745.231000000002</v>
      </c>
      <c r="F42" s="125">
        <v>1315</v>
      </c>
      <c r="G42" s="124">
        <v>12430.231000000002</v>
      </c>
      <c r="H42" s="120">
        <v>1852.5319999999999</v>
      </c>
      <c r="I42" s="121">
        <v>2129.7219251336901</v>
      </c>
      <c r="J42" s="121">
        <v>1698.683</v>
      </c>
      <c r="K42" s="121">
        <v>1922.3023939393941</v>
      </c>
      <c r="L42" s="121">
        <v>2204.4721863667096</v>
      </c>
      <c r="M42" s="121">
        <v>558.10199999999998</v>
      </c>
      <c r="N42" s="121">
        <v>471.41699999999997</v>
      </c>
      <c r="O42" s="121">
        <v>580.17899999999997</v>
      </c>
      <c r="P42" s="121">
        <v>636.5</v>
      </c>
      <c r="Q42" s="3" t="s">
        <v>404</v>
      </c>
      <c r="R42" s="3">
        <v>0.18501905912711181</v>
      </c>
      <c r="S42" s="80">
        <v>0.14962760434566857</v>
      </c>
      <c r="T42" s="80">
        <v>0.13164280441930254</v>
      </c>
      <c r="U42" s="80">
        <v>0.14678741144834251</v>
      </c>
      <c r="V42" s="3">
        <v>0.84129000000000009</v>
      </c>
      <c r="W42" s="3">
        <v>0.84320499999999998</v>
      </c>
      <c r="X42" s="4">
        <v>0.29135374422139843</v>
      </c>
      <c r="Y42" s="4">
        <v>0.29054483152977939</v>
      </c>
      <c r="Z42" s="3">
        <v>0.25685548211852749</v>
      </c>
      <c r="AA42" s="4">
        <v>0.26205392986456011</v>
      </c>
      <c r="AB42" s="4">
        <v>0.24523560990522425</v>
      </c>
      <c r="AC42" s="4">
        <v>0.26318272627255018</v>
      </c>
      <c r="AD42" s="5">
        <v>0.4418745412456393</v>
      </c>
      <c r="AE42" s="5">
        <v>0.41168153421022868</v>
      </c>
      <c r="AF42" s="6">
        <v>5.8365511728577957</v>
      </c>
      <c r="AG42" s="6">
        <v>6.4663244654898451</v>
      </c>
      <c r="AH42" s="6">
        <v>5.6386426995419834</v>
      </c>
      <c r="AI42" s="7">
        <v>0.39007181852449091</v>
      </c>
      <c r="AJ42" s="6">
        <v>22.272328355748595</v>
      </c>
      <c r="AK42" s="6">
        <v>26.367803876398185</v>
      </c>
      <c r="AL42" s="6">
        <v>21.424820615706537</v>
      </c>
      <c r="AM42" s="6">
        <v>1.488517339641102</v>
      </c>
      <c r="AN42" s="6">
        <v>19.529035349567952</v>
      </c>
      <c r="AO42" s="6" t="s">
        <v>295</v>
      </c>
      <c r="AP42" s="6" t="s">
        <v>298</v>
      </c>
      <c r="AQ42" s="6"/>
      <c r="AR42" s="6" t="s">
        <v>338</v>
      </c>
      <c r="AS42" s="119" t="s">
        <v>397</v>
      </c>
    </row>
    <row r="43" spans="1:45" s="122" customFormat="1" ht="12.75" x14ac:dyDescent="0.2">
      <c r="A43" s="119" t="s">
        <v>46</v>
      </c>
      <c r="B43" s="119" t="s">
        <v>179</v>
      </c>
      <c r="C43" s="119">
        <v>42.19</v>
      </c>
      <c r="D43" s="125"/>
      <c r="E43" s="120">
        <v>3456.4782333899998</v>
      </c>
      <c r="F43" s="125"/>
      <c r="G43" s="120">
        <v>3199.1562333899997</v>
      </c>
      <c r="H43" s="120">
        <v>524.34199999999998</v>
      </c>
      <c r="I43" s="121">
        <v>588.6</v>
      </c>
      <c r="J43" s="121">
        <v>504.12</v>
      </c>
      <c r="K43" s="121">
        <v>541.23299999999995</v>
      </c>
      <c r="L43" s="121">
        <v>608.375</v>
      </c>
      <c r="M43" s="121">
        <v>130.56900000000002</v>
      </c>
      <c r="N43" s="121">
        <v>103.17099999999999</v>
      </c>
      <c r="O43" s="121">
        <v>141.23099999999999</v>
      </c>
      <c r="P43" s="121">
        <v>119.66666666666664</v>
      </c>
      <c r="Q43" s="3" t="s">
        <v>404</v>
      </c>
      <c r="R43" s="3">
        <v>0.17105189691638023</v>
      </c>
      <c r="S43" s="80">
        <v>0.12254978620823831</v>
      </c>
      <c r="T43" s="80">
        <v>7.3619376338966758E-2</v>
      </c>
      <c r="U43" s="80">
        <v>0.12405378090397301</v>
      </c>
      <c r="V43" s="3">
        <v>0.77549999999999997</v>
      </c>
      <c r="W43" s="3">
        <v>0.78122500000000006</v>
      </c>
      <c r="X43" s="4">
        <v>0.15620629192972343</v>
      </c>
      <c r="Y43" s="4">
        <v>0.19010314362030001</v>
      </c>
      <c r="Z43" s="3">
        <v>0.1961906541913484</v>
      </c>
      <c r="AA43" s="4">
        <v>0.22182976554536191</v>
      </c>
      <c r="AB43" s="4">
        <v>0.19062215349027128</v>
      </c>
      <c r="AC43" s="4">
        <v>0.23214464762687487</v>
      </c>
      <c r="AD43" s="5">
        <v>0.36724255110772863</v>
      </c>
      <c r="AE43" s="5">
        <v>0.34437955175360024</v>
      </c>
      <c r="AF43" s="6">
        <v>5.4351957753822626</v>
      </c>
      <c r="AG43" s="6">
        <v>5.9108669157091311</v>
      </c>
      <c r="AH43" s="6">
        <v>5.25852678592973</v>
      </c>
      <c r="AI43" s="7">
        <v>0.44350920091747054</v>
      </c>
      <c r="AJ43" s="6">
        <v>24.501652255818758</v>
      </c>
      <c r="AK43" s="6">
        <v>31.008289474658575</v>
      </c>
      <c r="AL43" s="6">
        <v>22.651940674427003</v>
      </c>
      <c r="AM43" s="6">
        <v>1.9993223173955774</v>
      </c>
      <c r="AN43" s="6">
        <v>26.733896100752091</v>
      </c>
      <c r="AO43" s="6" t="s">
        <v>294</v>
      </c>
      <c r="AP43" s="6" t="s">
        <v>297</v>
      </c>
      <c r="AQ43" s="6"/>
      <c r="AR43" s="6"/>
      <c r="AS43" s="119" t="s">
        <v>397</v>
      </c>
    </row>
    <row r="44" spans="1:45" s="122" customFormat="1" ht="12.75" x14ac:dyDescent="0.2">
      <c r="A44" s="119" t="s">
        <v>41</v>
      </c>
      <c r="B44" s="119" t="s">
        <v>174</v>
      </c>
      <c r="C44" s="119">
        <v>20.015000000000001</v>
      </c>
      <c r="D44" s="125"/>
      <c r="E44" s="120">
        <v>3192.95219946</v>
      </c>
      <c r="F44" s="125"/>
      <c r="G44" s="120">
        <v>3230.8201994599999</v>
      </c>
      <c r="H44" s="120">
        <v>732.18899999999996</v>
      </c>
      <c r="I44" s="121">
        <v>806.58095238095234</v>
      </c>
      <c r="J44" s="121">
        <v>666.77599999999995</v>
      </c>
      <c r="K44" s="121">
        <v>748.2</v>
      </c>
      <c r="L44" s="121">
        <v>828.1875</v>
      </c>
      <c r="M44" s="121">
        <v>96.588999999999999</v>
      </c>
      <c r="N44" s="121">
        <v>63.753</v>
      </c>
      <c r="O44" s="121">
        <v>99.775000000000006</v>
      </c>
      <c r="P44" s="121">
        <v>179.31428571428575</v>
      </c>
      <c r="Q44" s="3" t="s">
        <v>404</v>
      </c>
      <c r="R44" s="3">
        <v>0.13829337379553949</v>
      </c>
      <c r="S44" s="80">
        <v>0.10160211691373733</v>
      </c>
      <c r="T44" s="80">
        <v>0.12211597298043131</v>
      </c>
      <c r="U44" s="80">
        <v>0.10690657578187635</v>
      </c>
      <c r="V44" s="3">
        <v>0.74797000000000002</v>
      </c>
      <c r="W44" s="3">
        <v>0.75114999999999998</v>
      </c>
      <c r="X44" s="4">
        <v>0.1813525795241914</v>
      </c>
      <c r="Y44" s="4">
        <v>0.19643860840691271</v>
      </c>
      <c r="Z44" s="3">
        <v>0.10491416833631755</v>
      </c>
      <c r="AA44" s="4">
        <v>0.11975115419584136</v>
      </c>
      <c r="AB44" s="4">
        <v>8.5208500400962298E-2</v>
      </c>
      <c r="AC44" s="4">
        <v>0.12047392649611351</v>
      </c>
      <c r="AD44" s="5">
        <v>0.24320754213185702</v>
      </c>
      <c r="AE44" s="5">
        <v>0.2213532711095787</v>
      </c>
      <c r="AF44" s="6">
        <v>4.0055746294564951</v>
      </c>
      <c r="AG44" s="6">
        <v>4.3181237629778133</v>
      </c>
      <c r="AH44" s="6">
        <v>3.9010733673956683</v>
      </c>
      <c r="AI44" s="7">
        <v>0.39424125708496072</v>
      </c>
      <c r="AJ44" s="6">
        <v>33.449152589425296</v>
      </c>
      <c r="AK44" s="6">
        <v>50.677147733596847</v>
      </c>
      <c r="AL44" s="6">
        <v>32.381059378200952</v>
      </c>
      <c r="AM44" s="6">
        <v>3.2921708331947892</v>
      </c>
      <c r="AN44" s="6">
        <v>18.017639735675587</v>
      </c>
      <c r="AO44" s="6" t="s">
        <v>294</v>
      </c>
      <c r="AP44" s="6" t="s">
        <v>297</v>
      </c>
      <c r="AQ44" s="6"/>
      <c r="AR44" s="6" t="s">
        <v>358</v>
      </c>
      <c r="AS44" s="119" t="s">
        <v>397</v>
      </c>
    </row>
    <row r="45" spans="1:45" s="122" customFormat="1" ht="12.75" x14ac:dyDescent="0.2">
      <c r="A45" s="119" t="s">
        <v>32</v>
      </c>
      <c r="B45" s="119" t="s">
        <v>165</v>
      </c>
      <c r="C45" s="119">
        <v>27.184999999999999</v>
      </c>
      <c r="D45" s="125"/>
      <c r="E45" s="120">
        <v>8715.8753061849984</v>
      </c>
      <c r="F45" s="125"/>
      <c r="G45" s="120">
        <v>7849.0133061849983</v>
      </c>
      <c r="H45" s="120">
        <v>1153.9880000000001</v>
      </c>
      <c r="I45" s="121">
        <v>1413.3809523809523</v>
      </c>
      <c r="J45" s="121">
        <v>937.46400000000006</v>
      </c>
      <c r="K45" s="121">
        <v>1217.5</v>
      </c>
      <c r="L45" s="121">
        <v>1481.5454545454545</v>
      </c>
      <c r="M45" s="121">
        <v>228.05100000000002</v>
      </c>
      <c r="N45" s="121">
        <v>179.053</v>
      </c>
      <c r="O45" s="121">
        <v>237.959</v>
      </c>
      <c r="P45" s="121">
        <v>225.85833333333329</v>
      </c>
      <c r="Q45" s="3" t="s">
        <v>404</v>
      </c>
      <c r="R45" s="3">
        <v>0.32807468598878164</v>
      </c>
      <c r="S45" s="80">
        <v>0.22477959249225488</v>
      </c>
      <c r="T45" s="80">
        <v>0.29871653738170201</v>
      </c>
      <c r="U45" s="80">
        <v>0.21687511666977777</v>
      </c>
      <c r="V45" s="3">
        <v>0.75956000000000001</v>
      </c>
      <c r="W45" s="3">
        <v>0.75497000000000003</v>
      </c>
      <c r="X45" s="4">
        <v>0.13397207392197125</v>
      </c>
      <c r="Y45" s="4">
        <v>0.14548659262440941</v>
      </c>
      <c r="Z45" s="3">
        <v>0.15214282990810996</v>
      </c>
      <c r="AA45" s="4">
        <v>0.16135140325460734</v>
      </c>
      <c r="AB45" s="4">
        <v>0.14706611909650924</v>
      </c>
      <c r="AC45" s="4">
        <v>0.16061538933546052</v>
      </c>
      <c r="AD45" s="5">
        <v>0.4802175158968916</v>
      </c>
      <c r="AE45" s="5">
        <v>0.38613099574686222</v>
      </c>
      <c r="AF45" s="6">
        <v>5.5533600427844405</v>
      </c>
      <c r="AG45" s="6">
        <v>6.4468281775646803</v>
      </c>
      <c r="AH45" s="6">
        <v>5.2978552106544141</v>
      </c>
      <c r="AI45" s="7">
        <v>0.24705801719859377</v>
      </c>
      <c r="AJ45" s="6">
        <v>34.417798238924618</v>
      </c>
      <c r="AK45" s="6">
        <v>43.836256897036066</v>
      </c>
      <c r="AL45" s="6">
        <v>32.984729748338992</v>
      </c>
      <c r="AM45" s="6">
        <v>1.5311798485492198</v>
      </c>
      <c r="AN45" s="6">
        <v>34.75193140029517</v>
      </c>
      <c r="AO45" s="6" t="s">
        <v>293</v>
      </c>
      <c r="AP45" s="6" t="s">
        <v>297</v>
      </c>
      <c r="AQ45" s="6"/>
      <c r="AR45" s="6" t="s">
        <v>366</v>
      </c>
      <c r="AS45" s="119" t="s">
        <v>396</v>
      </c>
    </row>
    <row r="46" spans="1:45" s="122" customFormat="1" ht="12.75" x14ac:dyDescent="0.2">
      <c r="A46" s="119" t="s">
        <v>99</v>
      </c>
      <c r="B46" s="119" t="s">
        <v>232</v>
      </c>
      <c r="C46" s="119">
        <v>64.268299999999996</v>
      </c>
      <c r="D46" s="125">
        <v>288.43799999999999</v>
      </c>
      <c r="E46" s="124">
        <v>18537.419915399998</v>
      </c>
      <c r="F46" s="125">
        <v>539.86800000000221</v>
      </c>
      <c r="G46" s="124">
        <v>17997.551915399996</v>
      </c>
      <c r="H46" s="120">
        <v>2537.9270000000001</v>
      </c>
      <c r="I46" s="121">
        <v>2921.7857142857142</v>
      </c>
      <c r="J46" s="121">
        <v>2537.9270000000001</v>
      </c>
      <c r="K46" s="121">
        <v>2686.646672360248</v>
      </c>
      <c r="L46" s="121">
        <v>3096.3694946357987</v>
      </c>
      <c r="M46" s="121">
        <v>818.94200000000001</v>
      </c>
      <c r="N46" s="121">
        <v>824.90533333333337</v>
      </c>
      <c r="O46" s="121">
        <v>833.55433333333337</v>
      </c>
      <c r="P46" s="121">
        <v>714.75</v>
      </c>
      <c r="Q46" s="3" t="s">
        <v>404</v>
      </c>
      <c r="R46" s="3">
        <v>0.18108158167102276</v>
      </c>
      <c r="S46" s="80">
        <v>0.15124891861969014</v>
      </c>
      <c r="T46" s="80">
        <v>5.8598877099399482E-2</v>
      </c>
      <c r="U46" s="80">
        <v>0.15250342610761125</v>
      </c>
      <c r="V46" s="3">
        <v>0.88052083333333331</v>
      </c>
      <c r="W46" s="3">
        <v>0.88044166666666668</v>
      </c>
      <c r="X46" s="4">
        <v>0.21173631520624053</v>
      </c>
      <c r="Y46" s="4">
        <v>0.2256433977093916</v>
      </c>
      <c r="Z46" s="3">
        <v>0.29558493999236385</v>
      </c>
      <c r="AA46" s="4">
        <v>0.28028817992910404</v>
      </c>
      <c r="AB46" s="4">
        <v>0.30703900956527536</v>
      </c>
      <c r="AC46" s="4">
        <v>0.26920376743712165</v>
      </c>
      <c r="AD46" s="5">
        <v>0.47666652166338663</v>
      </c>
      <c r="AE46" s="5">
        <v>0.43153709854879418</v>
      </c>
      <c r="AF46" s="6">
        <v>6.159778188866885</v>
      </c>
      <c r="AG46" s="6">
        <v>6.6988905167753057</v>
      </c>
      <c r="AH46" s="6">
        <v>5.812469069527797</v>
      </c>
      <c r="AI46" s="7">
        <v>0.40726097383581439</v>
      </c>
      <c r="AJ46" s="6">
        <v>21.976589203386805</v>
      </c>
      <c r="AK46" s="6">
        <v>21.817717970951005</v>
      </c>
      <c r="AL46" s="6">
        <v>21.591336276099572</v>
      </c>
      <c r="AM46" s="6">
        <v>1.453008021739721</v>
      </c>
      <c r="AN46" s="6">
        <v>25.180205547953825</v>
      </c>
      <c r="AO46" s="6" t="s">
        <v>295</v>
      </c>
      <c r="AP46" s="6" t="s">
        <v>298</v>
      </c>
      <c r="AQ46" s="6"/>
      <c r="AR46" s="6"/>
      <c r="AS46" s="119" t="s">
        <v>397</v>
      </c>
    </row>
    <row r="47" spans="1:45" s="122" customFormat="1" ht="12.75" x14ac:dyDescent="0.2">
      <c r="A47" s="119" t="s">
        <v>40</v>
      </c>
      <c r="B47" s="119" t="s">
        <v>173</v>
      </c>
      <c r="C47" s="119">
        <v>20.100000000000001</v>
      </c>
      <c r="D47" s="125"/>
      <c r="E47" s="120">
        <v>5882.4751253999993</v>
      </c>
      <c r="F47" s="125"/>
      <c r="G47" s="120">
        <v>6721.1821253999997</v>
      </c>
      <c r="H47" s="120">
        <v>640.37599999999998</v>
      </c>
      <c r="I47" s="121">
        <v>911.45555555555563</v>
      </c>
      <c r="J47" s="121">
        <v>451.803</v>
      </c>
      <c r="K47" s="121">
        <v>730.16666666666663</v>
      </c>
      <c r="L47" s="121">
        <v>949.18181818181813</v>
      </c>
      <c r="M47" s="121">
        <v>210.898</v>
      </c>
      <c r="N47" s="121">
        <v>157.47</v>
      </c>
      <c r="O47" s="121">
        <v>220.29300000000001</v>
      </c>
      <c r="P47" s="121">
        <v>314.93111111111108</v>
      </c>
      <c r="Q47" s="3" t="s">
        <v>404</v>
      </c>
      <c r="R47" s="3">
        <v>0.50905016295242012</v>
      </c>
      <c r="S47" s="80">
        <v>0.42331310910395725</v>
      </c>
      <c r="T47" s="80">
        <v>0.61611734908060956</v>
      </c>
      <c r="U47" s="80">
        <v>0.29995227324604179</v>
      </c>
      <c r="V47" s="3">
        <v>0.78025999999999995</v>
      </c>
      <c r="W47" s="3">
        <v>0.78585000000000005</v>
      </c>
      <c r="X47" s="4">
        <v>0.28692079433919199</v>
      </c>
      <c r="Y47" s="4">
        <v>0.3073699837180347</v>
      </c>
      <c r="Z47" s="3">
        <v>0.12824965332866939</v>
      </c>
      <c r="AA47" s="4">
        <v>0.23138593946191072</v>
      </c>
      <c r="AB47" s="4">
        <v>0.21566309061858024</v>
      </c>
      <c r="AC47" s="4">
        <v>0.23208725217891008</v>
      </c>
      <c r="AD47" s="5">
        <v>0.63729981628108945</v>
      </c>
      <c r="AE47" s="5">
        <v>0.65469904856586791</v>
      </c>
      <c r="AF47" s="6">
        <v>7.3741194339457028</v>
      </c>
      <c r="AG47" s="6">
        <v>9.2049972043825612</v>
      </c>
      <c r="AH47" s="6">
        <v>7.0810270452447082</v>
      </c>
      <c r="AI47" s="7">
        <v>0.17420011984875161</v>
      </c>
      <c r="AJ47" s="6">
        <v>31.869349758651101</v>
      </c>
      <c r="AK47" s="6">
        <v>42.682302187083252</v>
      </c>
      <c r="AL47" s="6">
        <v>30.510193811877816</v>
      </c>
      <c r="AM47" s="6">
        <v>0.75285525237123285</v>
      </c>
      <c r="AN47" s="6">
        <v>21.341753444703958</v>
      </c>
      <c r="AO47" s="6" t="s">
        <v>294</v>
      </c>
      <c r="AP47" s="6" t="s">
        <v>297</v>
      </c>
      <c r="AQ47" s="6"/>
      <c r="AR47" s="6"/>
      <c r="AS47" s="119" t="s">
        <v>396</v>
      </c>
    </row>
    <row r="48" spans="1:45" s="122" customFormat="1" ht="12.75" x14ac:dyDescent="0.2">
      <c r="A48" s="119" t="s">
        <v>121</v>
      </c>
      <c r="B48" s="119" t="s">
        <v>254</v>
      </c>
      <c r="C48" s="119">
        <v>13.34</v>
      </c>
      <c r="D48" s="125">
        <v>167.71017897480453</v>
      </c>
      <c r="E48" s="124">
        <v>2237.2537875238927</v>
      </c>
      <c r="F48" s="125">
        <v>742.6880000000001</v>
      </c>
      <c r="G48" s="124">
        <v>1494.5657875238926</v>
      </c>
      <c r="H48" s="120">
        <v>372.10399999999998</v>
      </c>
      <c r="I48" s="121">
        <v>306.32657342657342</v>
      </c>
      <c r="J48" s="121">
        <v>389.05599999999998</v>
      </c>
      <c r="K48" s="121">
        <v>337.3028511705686</v>
      </c>
      <c r="L48" s="121">
        <v>320.35443481639129</v>
      </c>
      <c r="M48" s="121">
        <v>-85.316000000000003</v>
      </c>
      <c r="N48" s="121">
        <v>-65.575333333333333</v>
      </c>
      <c r="O48" s="121">
        <v>-96.305999999999997</v>
      </c>
      <c r="P48" s="121">
        <v>-181.23095238095235</v>
      </c>
      <c r="Q48" s="3" t="s">
        <v>404</v>
      </c>
      <c r="R48" s="3">
        <v>0.14341200800164683</v>
      </c>
      <c r="S48" s="80">
        <v>-0.17677161915331885</v>
      </c>
      <c r="T48" s="80">
        <v>-0.13302236395128564</v>
      </c>
      <c r="U48" s="80">
        <v>-5.0246881386741604E-2</v>
      </c>
      <c r="V48" s="3">
        <v>0.61602666666666661</v>
      </c>
      <c r="W48" s="3">
        <v>0.6198866666666667</v>
      </c>
      <c r="X48" s="4">
        <v>-0.53775313798027413</v>
      </c>
      <c r="Y48" s="4">
        <v>-0.5263628292310405</v>
      </c>
      <c r="Z48" s="3">
        <v>-0.23073925569195708</v>
      </c>
      <c r="AA48" s="4">
        <v>-0.27851321890116815</v>
      </c>
      <c r="AB48" s="4">
        <v>-0.19441084801317896</v>
      </c>
      <c r="AC48" s="4">
        <v>-0.3006232770125285</v>
      </c>
      <c r="AD48" s="5">
        <v>-8.732724769031025E-2</v>
      </c>
      <c r="AE48" s="5">
        <v>-0.455284838054487</v>
      </c>
      <c r="AF48" s="6">
        <v>4.8789948936054044</v>
      </c>
      <c r="AG48" s="6">
        <v>4.4309313791365339</v>
      </c>
      <c r="AH48" s="6">
        <v>4.6653507025132699</v>
      </c>
      <c r="AI48" s="7">
        <v>-0.2760055554717592</v>
      </c>
      <c r="AJ48" s="6">
        <v>-17.518001166532567</v>
      </c>
      <c r="AK48" s="6">
        <v>-22.791585060295425</v>
      </c>
      <c r="AL48" s="6">
        <v>-15.518927040100229</v>
      </c>
      <c r="AM48" s="6">
        <v>0.99099624987531088</v>
      </c>
      <c r="AN48" s="6">
        <v>-8.246746860228793</v>
      </c>
      <c r="AO48" s="6" t="s">
        <v>295</v>
      </c>
      <c r="AP48" s="6" t="s">
        <v>298</v>
      </c>
      <c r="AQ48" s="6"/>
      <c r="AR48" s="6" t="s">
        <v>121</v>
      </c>
      <c r="AS48" s="119" t="s">
        <v>397</v>
      </c>
    </row>
    <row r="49" spans="1:45" s="122" customFormat="1" ht="12.75" x14ac:dyDescent="0.2">
      <c r="A49" s="119" t="s">
        <v>120</v>
      </c>
      <c r="B49" s="119" t="s">
        <v>253</v>
      </c>
      <c r="C49" s="119">
        <v>139.37</v>
      </c>
      <c r="D49" s="125"/>
      <c r="E49" s="120">
        <v>4997.5723859600002</v>
      </c>
      <c r="F49" s="125"/>
      <c r="G49" s="120">
        <v>4388.6233859600006</v>
      </c>
      <c r="H49" s="120">
        <v>653.03399999999999</v>
      </c>
      <c r="I49" s="121">
        <v>705.35526315789468</v>
      </c>
      <c r="J49" s="121">
        <v>607.57100000000003</v>
      </c>
      <c r="K49" s="121">
        <v>667.09090909090912</v>
      </c>
      <c r="L49" s="121">
        <v>717.47619047619048</v>
      </c>
      <c r="M49" s="121">
        <v>288.04700000000003</v>
      </c>
      <c r="N49" s="121">
        <v>276.702</v>
      </c>
      <c r="O49" s="121">
        <v>287.46699999999998</v>
      </c>
      <c r="P49" s="121">
        <v>322.39333333333332</v>
      </c>
      <c r="Q49" s="3" t="s">
        <v>404</v>
      </c>
      <c r="R49" s="3">
        <v>0.10133063496078916</v>
      </c>
      <c r="S49" s="80">
        <v>8.0120274224457999E-2</v>
      </c>
      <c r="T49" s="80">
        <v>9.7963709740769511E-2</v>
      </c>
      <c r="U49" s="80">
        <v>7.5529857623070962E-2</v>
      </c>
      <c r="V49" s="3">
        <v>0.84275999999999995</v>
      </c>
      <c r="W49" s="3">
        <v>0.84106999999999998</v>
      </c>
      <c r="X49" s="4">
        <v>0.44678768056691193</v>
      </c>
      <c r="Y49" s="4">
        <v>0.43698174819141167</v>
      </c>
      <c r="Z49" s="3">
        <v>0.41553732271214061</v>
      </c>
      <c r="AA49" s="4">
        <v>0.40837151864495314</v>
      </c>
      <c r="AB49" s="4">
        <v>0.41478904333605887</v>
      </c>
      <c r="AC49" s="4">
        <v>0.40066416672197513</v>
      </c>
      <c r="AD49" s="5">
        <v>0.51686795767292981</v>
      </c>
      <c r="AE49" s="5">
        <v>0.48849179286941113</v>
      </c>
      <c r="AF49" s="6">
        <v>6.2218623935859139</v>
      </c>
      <c r="AG49" s="6">
        <v>6.5787486025565558</v>
      </c>
      <c r="AH49" s="6">
        <v>6.116751251420987</v>
      </c>
      <c r="AI49" s="7">
        <v>0.7765652893492706</v>
      </c>
      <c r="AJ49" s="6">
        <v>15.235789249532194</v>
      </c>
      <c r="AK49" s="6">
        <v>15.860468612297709</v>
      </c>
      <c r="AL49" s="6">
        <v>15.26652932670533</v>
      </c>
      <c r="AM49" s="6">
        <v>1.9016147157520866</v>
      </c>
      <c r="AN49" s="6">
        <v>13.612636900969832</v>
      </c>
      <c r="AO49" s="6" t="s">
        <v>295</v>
      </c>
      <c r="AP49" s="6" t="s">
        <v>298</v>
      </c>
      <c r="AQ49" s="6"/>
      <c r="AR49" s="6" t="s">
        <v>339</v>
      </c>
      <c r="AS49" s="119" t="s">
        <v>396</v>
      </c>
    </row>
    <row r="50" spans="1:45" s="122" customFormat="1" ht="12.75" x14ac:dyDescent="0.2">
      <c r="A50" s="119" t="s">
        <v>111</v>
      </c>
      <c r="B50" s="119" t="s">
        <v>244</v>
      </c>
      <c r="C50" s="119">
        <v>123.2</v>
      </c>
      <c r="D50" s="125"/>
      <c r="E50" s="120">
        <v>5432.4253983999997</v>
      </c>
      <c r="F50" s="125"/>
      <c r="G50" s="120">
        <v>4398.4313984</v>
      </c>
      <c r="H50" s="120">
        <v>1095.835</v>
      </c>
      <c r="I50" s="121">
        <v>1227.3636363636363</v>
      </c>
      <c r="J50" s="121">
        <v>995.61900000000003</v>
      </c>
      <c r="K50" s="121">
        <v>1132.2049999999999</v>
      </c>
      <c r="L50" s="121">
        <v>1265.2727272727273</v>
      </c>
      <c r="M50" s="121">
        <v>243.93200000000002</v>
      </c>
      <c r="N50" s="121">
        <v>219.05199999999999</v>
      </c>
      <c r="O50" s="121">
        <v>259.59100000000001</v>
      </c>
      <c r="P50" s="121">
        <v>240.14285714285714</v>
      </c>
      <c r="Q50" s="3" t="s">
        <v>404</v>
      </c>
      <c r="R50" s="3">
        <v>0.22023829408162141</v>
      </c>
      <c r="S50" s="80">
        <v>0.12002594949388934</v>
      </c>
      <c r="T50" s="80">
        <v>0.13718701631849117</v>
      </c>
      <c r="U50" s="80">
        <v>0.11752971173305826</v>
      </c>
      <c r="V50" s="3">
        <v>0.81307680000000004</v>
      </c>
      <c r="W50" s="3">
        <v>0.806315</v>
      </c>
      <c r="X50" s="4">
        <v>0.19809663444340911</v>
      </c>
      <c r="Y50" s="4">
        <v>0.19199418019830436</v>
      </c>
      <c r="Z50" s="3">
        <v>0.1911236636902453</v>
      </c>
      <c r="AA50" s="4">
        <v>0.19874468557884603</v>
      </c>
      <c r="AB50" s="4">
        <v>0.19347379670642684</v>
      </c>
      <c r="AC50" s="4">
        <v>0.20516604397183505</v>
      </c>
      <c r="AD50" s="5">
        <v>0.41136195777186668</v>
      </c>
      <c r="AE50" s="5">
        <v>0.3187706350727354</v>
      </c>
      <c r="AF50" s="6">
        <v>3.5836416104288573</v>
      </c>
      <c r="AG50" s="6">
        <v>3.8848365785348062</v>
      </c>
      <c r="AH50" s="6">
        <v>3.4762714026727979</v>
      </c>
      <c r="AI50" s="7">
        <v>0.29857223588231685</v>
      </c>
      <c r="AJ50" s="6">
        <v>18.031383329780429</v>
      </c>
      <c r="AK50" s="6">
        <v>20.079393926556254</v>
      </c>
      <c r="AL50" s="6">
        <v>16.943697579654149</v>
      </c>
      <c r="AM50" s="6">
        <v>1.5022904135158228</v>
      </c>
      <c r="AN50" s="6">
        <v>18.315895174776919</v>
      </c>
      <c r="AO50" s="6" t="s">
        <v>295</v>
      </c>
      <c r="AP50" s="6" t="s">
        <v>298</v>
      </c>
      <c r="AQ50" s="6"/>
      <c r="AR50" s="6" t="s">
        <v>343</v>
      </c>
      <c r="AS50" s="119" t="s">
        <v>397</v>
      </c>
    </row>
    <row r="51" spans="1:45" s="122" customFormat="1" ht="12.75" x14ac:dyDescent="0.2">
      <c r="A51" s="119" t="s">
        <v>43</v>
      </c>
      <c r="B51" s="119" t="s">
        <v>176</v>
      </c>
      <c r="C51" s="119">
        <v>70.209999999999994</v>
      </c>
      <c r="D51" s="125"/>
      <c r="E51" s="120">
        <v>4390.2316510499995</v>
      </c>
      <c r="F51" s="125"/>
      <c r="G51" s="120">
        <v>4360.5816510499999</v>
      </c>
      <c r="H51" s="120">
        <v>769.63199999999995</v>
      </c>
      <c r="I51" s="121">
        <v>851.79761904761915</v>
      </c>
      <c r="J51" s="121">
        <v>696.46400000000006</v>
      </c>
      <c r="K51" s="121">
        <v>791.53333333333342</v>
      </c>
      <c r="L51" s="121">
        <v>873.21428571428578</v>
      </c>
      <c r="M51" s="121">
        <v>190.941</v>
      </c>
      <c r="N51" s="121">
        <v>166.45400000000001</v>
      </c>
      <c r="O51" s="121">
        <v>204.976</v>
      </c>
      <c r="P51" s="121">
        <v>215.00714285714281</v>
      </c>
      <c r="Q51" s="3" t="s">
        <v>404</v>
      </c>
      <c r="R51" s="3">
        <v>0.13928918771288606</v>
      </c>
      <c r="S51" s="80">
        <v>0.10675961894466335</v>
      </c>
      <c r="T51" s="80">
        <v>0.13650286781992094</v>
      </c>
      <c r="U51" s="80">
        <v>0.1031933197771655</v>
      </c>
      <c r="V51" s="3">
        <v>0.58013999999999999</v>
      </c>
      <c r="W51" s="3">
        <v>0.60006000000000004</v>
      </c>
      <c r="X51" s="4">
        <v>0.19086625115808975</v>
      </c>
      <c r="Y51" s="4">
        <v>0.22313652351738239</v>
      </c>
      <c r="Z51" s="3">
        <v>0.22679540351752528</v>
      </c>
      <c r="AA51" s="4">
        <v>0.22416240164358286</v>
      </c>
      <c r="AB51" s="4">
        <v>0.21029310199612566</v>
      </c>
      <c r="AC51" s="4">
        <v>0.23473734151329242</v>
      </c>
      <c r="AD51" s="5">
        <v>0.36608459123041137</v>
      </c>
      <c r="AE51" s="5">
        <v>0.33092202058824621</v>
      </c>
      <c r="AF51" s="6">
        <v>5.1192695935514525</v>
      </c>
      <c r="AG51" s="6">
        <v>5.5090309749642037</v>
      </c>
      <c r="AH51" s="6">
        <v>4.9937131382167683</v>
      </c>
      <c r="AI51" s="7">
        <v>0.47951366295199316</v>
      </c>
      <c r="AJ51" s="6">
        <v>22.837324885959536</v>
      </c>
      <c r="AK51" s="6">
        <v>26.196917172612253</v>
      </c>
      <c r="AL51" s="6">
        <v>21.273620575335649</v>
      </c>
      <c r="AM51" s="6">
        <v>2.1391351066733195</v>
      </c>
      <c r="AN51" s="6">
        <v>20.28110133042092</v>
      </c>
      <c r="AO51" s="6" t="s">
        <v>294</v>
      </c>
      <c r="AP51" s="6" t="s">
        <v>297</v>
      </c>
      <c r="AQ51" s="6"/>
      <c r="AR51" s="6" t="s">
        <v>358</v>
      </c>
      <c r="AS51" s="119" t="s">
        <v>397</v>
      </c>
    </row>
    <row r="52" spans="1:45" s="122" customFormat="1" ht="12.75" x14ac:dyDescent="0.2">
      <c r="A52" s="119" t="s">
        <v>8</v>
      </c>
      <c r="B52" s="119" t="s">
        <v>141</v>
      </c>
      <c r="C52" s="119">
        <v>324.95</v>
      </c>
      <c r="D52" s="125"/>
      <c r="E52" s="120">
        <v>136024.07</v>
      </c>
      <c r="F52" s="125"/>
      <c r="G52" s="120">
        <v>136720.07</v>
      </c>
      <c r="H52" s="120">
        <v>23181</v>
      </c>
      <c r="I52" s="121">
        <v>25306.80114942529</v>
      </c>
      <c r="J52" s="121">
        <v>21505</v>
      </c>
      <c r="K52" s="121">
        <v>23869.466931918654</v>
      </c>
      <c r="L52" s="121">
        <v>26080.107111279525</v>
      </c>
      <c r="M52" s="121">
        <v>9943.5329999999994</v>
      </c>
      <c r="N52" s="121">
        <v>9294.1913333333323</v>
      </c>
      <c r="O52" s="121">
        <v>10320.643</v>
      </c>
      <c r="P52" s="121">
        <v>12431.561904761906</v>
      </c>
      <c r="Q52" s="3" t="s">
        <v>404</v>
      </c>
      <c r="R52" s="3">
        <v>0.10665011696185613</v>
      </c>
      <c r="S52" s="80">
        <v>9.1704462681734489E-2</v>
      </c>
      <c r="T52" s="80">
        <v>0.10994963645285538</v>
      </c>
      <c r="U52" s="80">
        <v>9.2613722194389014E-2</v>
      </c>
      <c r="V52" s="3">
        <v>0.90026916666666679</v>
      </c>
      <c r="W52" s="3">
        <v>0.89913083333333343</v>
      </c>
      <c r="X52" s="4">
        <v>0.46107127980934887</v>
      </c>
      <c r="Y52" s="4">
        <v>0.46136872119910299</v>
      </c>
      <c r="Z52" s="3">
        <v>0.41408912471420561</v>
      </c>
      <c r="AA52" s="4">
        <v>0.39291939511785406</v>
      </c>
      <c r="AB52" s="4">
        <v>0.38937573930086317</v>
      </c>
      <c r="AC52" s="4">
        <v>0.39572855111229088</v>
      </c>
      <c r="AD52" s="5">
        <v>0.52073924167606178</v>
      </c>
      <c r="AE52" s="5">
        <v>0.48462385779958855</v>
      </c>
      <c r="AF52" s="6">
        <v>5.4025030343712519</v>
      </c>
      <c r="AG52" s="6">
        <v>5.7278225102369431</v>
      </c>
      <c r="AH52" s="6">
        <v>5.2423124420708076</v>
      </c>
      <c r="AI52" s="7">
        <v>0.58912106089328964</v>
      </c>
      <c r="AJ52" s="6">
        <v>13.749647132462879</v>
      </c>
      <c r="AK52" s="6">
        <v>14.710270651482896</v>
      </c>
      <c r="AL52" s="6">
        <v>13.247243413031534</v>
      </c>
      <c r="AM52" s="6">
        <v>1.4993432958853707</v>
      </c>
      <c r="AN52" s="6">
        <v>10.997819183736633</v>
      </c>
      <c r="AO52" s="6" t="s">
        <v>293</v>
      </c>
      <c r="AP52" s="6" t="s">
        <v>297</v>
      </c>
      <c r="AQ52" s="6"/>
      <c r="AR52" s="6" t="s">
        <v>347</v>
      </c>
      <c r="AS52" s="119" t="s">
        <v>397</v>
      </c>
    </row>
    <row r="53" spans="1:45" s="122" customFormat="1" ht="12.75" x14ac:dyDescent="0.2">
      <c r="A53" s="119" t="s">
        <v>34</v>
      </c>
      <c r="B53" s="119" t="s">
        <v>167</v>
      </c>
      <c r="C53" s="119">
        <v>71.8</v>
      </c>
      <c r="D53" s="125"/>
      <c r="E53" s="120">
        <v>11162.735948</v>
      </c>
      <c r="F53" s="125"/>
      <c r="G53" s="120">
        <v>10507.314947999999</v>
      </c>
      <c r="H53" s="120">
        <v>1275.45</v>
      </c>
      <c r="I53" s="121">
        <v>1430.9</v>
      </c>
      <c r="J53" s="121">
        <v>1151.7080000000001</v>
      </c>
      <c r="K53" s="121">
        <v>1313.7894736842106</v>
      </c>
      <c r="L53" s="121">
        <v>1472.047619047619</v>
      </c>
      <c r="M53" s="121">
        <v>248.01500000000001</v>
      </c>
      <c r="N53" s="121">
        <v>185.65700000000001</v>
      </c>
      <c r="O53" s="121">
        <v>262.15300000000002</v>
      </c>
      <c r="P53" s="121">
        <v>317.7</v>
      </c>
      <c r="Q53" s="3" t="s">
        <v>404</v>
      </c>
      <c r="R53" s="3">
        <v>0.14936365741762872</v>
      </c>
      <c r="S53" s="80">
        <v>0.12187855266768599</v>
      </c>
      <c r="T53" s="80">
        <v>0.14073139518368416</v>
      </c>
      <c r="U53" s="80">
        <v>0.12045928859485455</v>
      </c>
      <c r="V53" s="3">
        <v>0.83704000000000012</v>
      </c>
      <c r="W53" s="3">
        <v>0.84064000000000005</v>
      </c>
      <c r="X53" s="4">
        <v>0.14043345885746333</v>
      </c>
      <c r="Y53" s="4">
        <v>0.17479054119626047</v>
      </c>
      <c r="Z53" s="3">
        <v>9.8298639695793638E-2</v>
      </c>
      <c r="AA53" s="4">
        <v>0.17332797540009784</v>
      </c>
      <c r="AB53" s="4">
        <v>0.14131411745853698</v>
      </c>
      <c r="AC53" s="4">
        <v>0.17808730954614566</v>
      </c>
      <c r="AD53" s="5">
        <v>0.24766229711342236</v>
      </c>
      <c r="AE53" s="5">
        <v>0.2952065280677838</v>
      </c>
      <c r="AF53" s="6">
        <v>7.3431511272625611</v>
      </c>
      <c r="AG53" s="6">
        <v>7.9977158886307178</v>
      </c>
      <c r="AH53" s="6">
        <v>7.1378906579109112</v>
      </c>
      <c r="AI53" s="7">
        <v>0.60249740143242381</v>
      </c>
      <c r="AJ53" s="6">
        <v>42.365642997399348</v>
      </c>
      <c r="AK53" s="6">
        <v>56.595307195527226</v>
      </c>
      <c r="AL53" s="6">
        <v>40.080849534432176</v>
      </c>
      <c r="AM53" s="6">
        <v>3.4760539955633942</v>
      </c>
      <c r="AN53" s="6">
        <v>33.073071916902734</v>
      </c>
      <c r="AO53" s="6" t="s">
        <v>294</v>
      </c>
      <c r="AP53" s="6" t="s">
        <v>297</v>
      </c>
      <c r="AQ53" s="6"/>
      <c r="AR53" s="6" t="s">
        <v>356</v>
      </c>
      <c r="AS53" s="119" t="s">
        <v>396</v>
      </c>
    </row>
    <row r="54" spans="1:45" s="122" customFormat="1" ht="12.75" x14ac:dyDescent="0.2">
      <c r="A54" s="119" t="s">
        <v>49</v>
      </c>
      <c r="B54" s="119" t="s">
        <v>182</v>
      </c>
      <c r="C54" s="119">
        <v>18.03</v>
      </c>
      <c r="D54" s="125"/>
      <c r="E54" s="120">
        <v>4317.6452178600002</v>
      </c>
      <c r="F54" s="125"/>
      <c r="G54" s="120">
        <v>3743.7922178600002</v>
      </c>
      <c r="H54" s="120">
        <v>455.90300000000002</v>
      </c>
      <c r="I54" s="121">
        <v>528.5</v>
      </c>
      <c r="J54" s="121">
        <v>401.20299999999997</v>
      </c>
      <c r="K54" s="121">
        <v>472.875</v>
      </c>
      <c r="L54" s="121">
        <v>552.375</v>
      </c>
      <c r="M54" s="121">
        <v>170.19900000000001</v>
      </c>
      <c r="N54" s="121">
        <v>130.80799999999999</v>
      </c>
      <c r="O54" s="121">
        <v>169.65</v>
      </c>
      <c r="P54" s="121">
        <v>143.65714285714287</v>
      </c>
      <c r="Q54" s="3" t="s">
        <v>404</v>
      </c>
      <c r="R54" s="3">
        <v>0.18365020887043798</v>
      </c>
      <c r="S54" s="80">
        <v>0.1592378203258149</v>
      </c>
      <c r="T54" s="80">
        <v>0.17864273198355951</v>
      </c>
      <c r="U54" s="80">
        <v>0.16812053925455994</v>
      </c>
      <c r="V54" s="3">
        <v>0.84289000000000003</v>
      </c>
      <c r="W54" s="3">
        <v>0.84412999999999994</v>
      </c>
      <c r="X54" s="4">
        <v>0.25134972244250597</v>
      </c>
      <c r="Y54" s="4">
        <v>0.25552025345100704</v>
      </c>
      <c r="Z54" s="3">
        <v>0.30763780891987985</v>
      </c>
      <c r="AA54" s="4">
        <v>0.32204162724692531</v>
      </c>
      <c r="AB54" s="4">
        <v>0.27662278614855934</v>
      </c>
      <c r="AC54" s="4">
        <v>0.30712830957230142</v>
      </c>
      <c r="AD54" s="5">
        <v>0.49128801779031783</v>
      </c>
      <c r="AE54" s="5">
        <v>0.48127944757274022</v>
      </c>
      <c r="AF54" s="6">
        <v>7.0838074131693478</v>
      </c>
      <c r="AG54" s="6">
        <v>7.9170863713666408</v>
      </c>
      <c r="AH54" s="6">
        <v>6.7776279119438794</v>
      </c>
      <c r="AI54" s="7">
        <v>0.44485709479539726</v>
      </c>
      <c r="AJ54" s="6">
        <v>21.996558251576097</v>
      </c>
      <c r="AK54" s="6">
        <v>28.620514172374783</v>
      </c>
      <c r="AL54" s="6">
        <v>22.067740747774831</v>
      </c>
      <c r="AM54" s="6">
        <v>1.3813651936813227</v>
      </c>
      <c r="AN54" s="6">
        <v>26.060606130688146</v>
      </c>
      <c r="AO54" s="6" t="s">
        <v>293</v>
      </c>
      <c r="AP54" s="6" t="s">
        <v>297</v>
      </c>
      <c r="AQ54" s="6"/>
      <c r="AR54" s="6"/>
      <c r="AS54" s="119" t="s">
        <v>397</v>
      </c>
    </row>
    <row r="55" spans="1:45" s="122" customFormat="1" ht="12.75" x14ac:dyDescent="0.2">
      <c r="A55" s="119" t="s">
        <v>110</v>
      </c>
      <c r="B55" s="119" t="s">
        <v>243</v>
      </c>
      <c r="C55" s="119">
        <v>22.39</v>
      </c>
      <c r="D55" s="125">
        <v>382</v>
      </c>
      <c r="E55" s="124">
        <v>8552.98</v>
      </c>
      <c r="F55" s="125">
        <v>894.75900000000001</v>
      </c>
      <c r="G55" s="124">
        <v>7658.2209999999995</v>
      </c>
      <c r="H55" s="120">
        <v>1113.1489999999999</v>
      </c>
      <c r="I55" s="121">
        <v>1298.8302419354839</v>
      </c>
      <c r="J55" s="121">
        <v>963.64200000000005</v>
      </c>
      <c r="K55" s="121">
        <v>1159.909090909091</v>
      </c>
      <c r="L55" s="121">
        <v>1351.4545454545455</v>
      </c>
      <c r="M55" s="121">
        <v>111.982</v>
      </c>
      <c r="N55" s="121">
        <v>41.050000000000004</v>
      </c>
      <c r="O55" s="121">
        <v>123.331</v>
      </c>
      <c r="P55" s="121">
        <v>140.82857142857142</v>
      </c>
      <c r="Q55" s="3" t="s">
        <v>404</v>
      </c>
      <c r="R55" s="3">
        <v>0.21575109817978461</v>
      </c>
      <c r="S55" s="80">
        <v>0.16680717669915168</v>
      </c>
      <c r="T55" s="80">
        <v>0.2036722049361599</v>
      </c>
      <c r="U55" s="80">
        <v>0.16513833372521347</v>
      </c>
      <c r="V55" s="3">
        <v>0.78316000000000008</v>
      </c>
      <c r="W55" s="3">
        <v>0.78430000000000011</v>
      </c>
      <c r="X55" s="4">
        <v>6.9804608511638833E-2</v>
      </c>
      <c r="Y55" s="4">
        <v>9.5968451500067262E-2</v>
      </c>
      <c r="Z55" s="3">
        <v>2.849843102765218E-2</v>
      </c>
      <c r="AA55" s="4">
        <v>8.6217579776343423E-2</v>
      </c>
      <c r="AB55" s="4">
        <v>3.5390704600674033E-2</v>
      </c>
      <c r="AC55" s="4">
        <v>9.1257971209471281E-2</v>
      </c>
      <c r="AD55" s="5">
        <v>0.24424952920743678</v>
      </c>
      <c r="AE55" s="5">
        <v>0.25302475647549511</v>
      </c>
      <c r="AF55" s="6">
        <v>5.8962447537315681</v>
      </c>
      <c r="AG55" s="6">
        <v>6.6024320871541651</v>
      </c>
      <c r="AH55" s="6">
        <v>5.666650813937844</v>
      </c>
      <c r="AI55" s="7">
        <v>0.35347668310254149</v>
      </c>
      <c r="AJ55" s="6">
        <v>68.387964137093462</v>
      </c>
      <c r="AK55" s="6">
        <v>186.55836784409254</v>
      </c>
      <c r="AL55" s="6">
        <v>62.094858551377996</v>
      </c>
      <c r="AM55" s="6">
        <v>4.0998214519532272</v>
      </c>
      <c r="AN55" s="6">
        <v>54.379739298032057</v>
      </c>
      <c r="AO55" s="6" t="s">
        <v>295</v>
      </c>
      <c r="AP55" s="6" t="s">
        <v>298</v>
      </c>
      <c r="AQ55" s="6"/>
      <c r="AR55" s="6" t="s">
        <v>367</v>
      </c>
      <c r="AS55" s="119" t="s">
        <v>397</v>
      </c>
    </row>
    <row r="56" spans="1:45" s="122" customFormat="1" ht="12.75" x14ac:dyDescent="0.2">
      <c r="A56" s="119" t="s">
        <v>28</v>
      </c>
      <c r="B56" s="119" t="s">
        <v>161</v>
      </c>
      <c r="C56" s="119">
        <v>163.54</v>
      </c>
      <c r="D56" s="125"/>
      <c r="E56" s="120">
        <v>9202.2330776999988</v>
      </c>
      <c r="F56" s="125"/>
      <c r="G56" s="120">
        <v>8911.7330776999988</v>
      </c>
      <c r="H56" s="120">
        <v>2001.2</v>
      </c>
      <c r="I56" s="121">
        <v>2187.7236842105262</v>
      </c>
      <c r="J56" s="121">
        <v>1883.2</v>
      </c>
      <c r="K56" s="121">
        <v>2050.2105263157896</v>
      </c>
      <c r="L56" s="121">
        <v>2230.85</v>
      </c>
      <c r="M56" s="121">
        <v>424.43900000000002</v>
      </c>
      <c r="N56" s="121">
        <v>365.26300000000003</v>
      </c>
      <c r="O56" s="121">
        <v>463.16500000000002</v>
      </c>
      <c r="P56" s="121">
        <v>939.83684210526314</v>
      </c>
      <c r="Q56" s="3" t="s">
        <v>404</v>
      </c>
      <c r="R56" s="3">
        <v>9.7203261125823059E-2</v>
      </c>
      <c r="S56" s="80">
        <v>9.3205918554130518E-2</v>
      </c>
      <c r="T56" s="80">
        <v>8.8684434109913779E-2</v>
      </c>
      <c r="U56" s="80">
        <v>8.8107768136776565E-2</v>
      </c>
      <c r="V56" s="3">
        <v>0.83716999999999997</v>
      </c>
      <c r="W56" s="3">
        <v>0.83481000000000005</v>
      </c>
      <c r="X56" s="4">
        <v>0.33365012578939257</v>
      </c>
      <c r="Y56" s="4">
        <v>0.3379169374901943</v>
      </c>
      <c r="Z56" s="3">
        <v>0.19489456326204277</v>
      </c>
      <c r="AA56" s="4">
        <v>0.1940094185857687</v>
      </c>
      <c r="AB56" s="4">
        <v>0.17815877701904811</v>
      </c>
      <c r="AC56" s="4">
        <v>0.20761817244548045</v>
      </c>
      <c r="AD56" s="5">
        <v>0.2920978243878658</v>
      </c>
      <c r="AE56" s="5">
        <v>0.28721533713989922</v>
      </c>
      <c r="AF56" s="6">
        <v>4.0735185809884102</v>
      </c>
      <c r="AG56" s="6">
        <v>4.3467404753375769</v>
      </c>
      <c r="AH56" s="6">
        <v>3.994770189703476</v>
      </c>
      <c r="AI56" s="7">
        <v>0.43704505509729646</v>
      </c>
      <c r="AJ56" s="6">
        <v>20.996499091035457</v>
      </c>
      <c r="AK56" s="6">
        <v>24.398127041884884</v>
      </c>
      <c r="AL56" s="6">
        <v>19.240946698692689</v>
      </c>
      <c r="AM56" s="6">
        <v>2.2527001950891639</v>
      </c>
      <c r="AN56" s="6">
        <v>9.4822129527689558</v>
      </c>
      <c r="AO56" s="6" t="s">
        <v>293</v>
      </c>
      <c r="AP56" s="6" t="s">
        <v>297</v>
      </c>
      <c r="AQ56" s="6"/>
      <c r="AR56" s="6" t="s">
        <v>356</v>
      </c>
      <c r="AS56" s="119" t="s">
        <v>396</v>
      </c>
    </row>
    <row r="57" spans="1:45" s="122" customFormat="1" ht="12.75" x14ac:dyDescent="0.2">
      <c r="A57" s="119" t="s">
        <v>114</v>
      </c>
      <c r="B57" s="119" t="s">
        <v>247</v>
      </c>
      <c r="C57" s="119">
        <v>42.82</v>
      </c>
      <c r="D57" s="125">
        <v>168.2</v>
      </c>
      <c r="E57" s="124">
        <v>7202.3239999999996</v>
      </c>
      <c r="F57" s="125">
        <v>1165</v>
      </c>
      <c r="G57" s="124">
        <v>6037.3239999999996</v>
      </c>
      <c r="H57" s="120">
        <v>857.947</v>
      </c>
      <c r="I57" s="121">
        <v>1030.3333333333333</v>
      </c>
      <c r="J57" s="121">
        <v>759.24900000000002</v>
      </c>
      <c r="K57" s="121">
        <v>928.20885507246362</v>
      </c>
      <c r="L57" s="121">
        <v>1116.0934782608695</v>
      </c>
      <c r="M57" s="121">
        <v>193.93299999999999</v>
      </c>
      <c r="N57" s="121">
        <v>212.60933333333332</v>
      </c>
      <c r="O57" s="121">
        <v>237.49699999999999</v>
      </c>
      <c r="P57" s="121">
        <v>157.03888888888889</v>
      </c>
      <c r="Q57" s="3" t="s">
        <v>404</v>
      </c>
      <c r="R57" s="3">
        <v>0.28972306822725791</v>
      </c>
      <c r="S57" s="80">
        <v>0.20092888410744858</v>
      </c>
      <c r="T57" s="80">
        <v>0.22253549898974323</v>
      </c>
      <c r="U57" s="80">
        <v>0.20241632275070032</v>
      </c>
      <c r="V57" s="3">
        <v>0.90138333333333331</v>
      </c>
      <c r="W57" s="3">
        <v>0.90114083333333328</v>
      </c>
      <c r="X57" s="4">
        <v>0.14599946904128636</v>
      </c>
      <c r="Y57" s="4">
        <v>0.15738914653790495</v>
      </c>
      <c r="Z57" s="3">
        <v>4.1768314359744874E-2</v>
      </c>
      <c r="AA57" s="4">
        <v>0.18822355224846329</v>
      </c>
      <c r="AB57" s="4">
        <v>0.22905333446397177</v>
      </c>
      <c r="AC57" s="4">
        <v>0.21279310794833689</v>
      </c>
      <c r="AD57" s="5">
        <v>0.33149138258700278</v>
      </c>
      <c r="AE57" s="5">
        <v>0.3891524363559119</v>
      </c>
      <c r="AF57" s="6">
        <v>5.8595833063733425</v>
      </c>
      <c r="AG57" s="6">
        <v>6.5042732214924586</v>
      </c>
      <c r="AH57" s="6">
        <v>5.4093354343468976</v>
      </c>
      <c r="AI57" s="7">
        <v>0.29162473739912254</v>
      </c>
      <c r="AJ57" s="6">
        <v>31.130978224438337</v>
      </c>
      <c r="AK57" s="6">
        <v>28.396326282320626</v>
      </c>
      <c r="AL57" s="6">
        <v>25.420632681675979</v>
      </c>
      <c r="AM57" s="6">
        <v>1.5493530640318869</v>
      </c>
      <c r="AN57" s="6">
        <v>38.444770226766188</v>
      </c>
      <c r="AO57" s="6" t="s">
        <v>295</v>
      </c>
      <c r="AP57" s="6" t="s">
        <v>298</v>
      </c>
      <c r="AQ57" s="6"/>
      <c r="AR57" s="6" t="s">
        <v>344</v>
      </c>
      <c r="AS57" s="119" t="s">
        <v>397</v>
      </c>
    </row>
    <row r="58" spans="1:45" s="122" customFormat="1" ht="12.75" x14ac:dyDescent="0.2">
      <c r="A58" s="119" t="s">
        <v>44</v>
      </c>
      <c r="B58" s="119" t="s">
        <v>177</v>
      </c>
      <c r="C58" s="119">
        <v>80.239999999999995</v>
      </c>
      <c r="D58" s="125"/>
      <c r="E58" s="120">
        <v>3025.7777025599999</v>
      </c>
      <c r="F58" s="125"/>
      <c r="G58" s="120">
        <v>2901.6967025599997</v>
      </c>
      <c r="H58" s="120">
        <v>729.76</v>
      </c>
      <c r="I58" s="121">
        <v>794.99999999999989</v>
      </c>
      <c r="J58" s="121">
        <v>637.76499999999999</v>
      </c>
      <c r="K58" s="121">
        <v>752.33333333333337</v>
      </c>
      <c r="L58" s="121">
        <v>807.91666666666663</v>
      </c>
      <c r="M58" s="121">
        <v>197.59</v>
      </c>
      <c r="N58" s="121">
        <v>170.24199999999999</v>
      </c>
      <c r="O58" s="121">
        <v>193.83100000000002</v>
      </c>
      <c r="P58" s="121">
        <v>251.87666666666664</v>
      </c>
      <c r="Q58" s="3" t="s">
        <v>404</v>
      </c>
      <c r="R58" s="3">
        <v>0.19276326650027847</v>
      </c>
      <c r="S58" s="80">
        <v>8.9399254549440865E-2</v>
      </c>
      <c r="T58" s="80">
        <v>0.17964035864830064</v>
      </c>
      <c r="U58" s="80">
        <v>7.3881258307487707E-2</v>
      </c>
      <c r="V58" s="3">
        <v>0.70010000000000006</v>
      </c>
      <c r="W58" s="3">
        <v>0.70594000000000012</v>
      </c>
      <c r="X58" s="4">
        <v>0.27743952148870182</v>
      </c>
      <c r="Y58" s="4">
        <v>0.29323445074780813</v>
      </c>
      <c r="Z58" s="3">
        <v>0.20334630563472925</v>
      </c>
      <c r="AA58" s="4">
        <v>0.24854088050314468</v>
      </c>
      <c r="AB58" s="4">
        <v>0.2262853345148427</v>
      </c>
      <c r="AC58" s="4">
        <v>0.23991459515214031</v>
      </c>
      <c r="AD58" s="5">
        <v>0.39610957213500775</v>
      </c>
      <c r="AE58" s="5">
        <v>0.33794013505258558</v>
      </c>
      <c r="AF58" s="6">
        <v>3.6499329591949685</v>
      </c>
      <c r="AG58" s="6">
        <v>3.8569296002126712</v>
      </c>
      <c r="AH58" s="6">
        <v>3.5915792089448169</v>
      </c>
      <c r="AI58" s="7">
        <v>0.40827331028542635</v>
      </c>
      <c r="AJ58" s="6">
        <v>14.685443102181283</v>
      </c>
      <c r="AK58" s="6">
        <v>17.044540727670022</v>
      </c>
      <c r="AL58" s="6">
        <v>14.970240583601175</v>
      </c>
      <c r="AM58" s="6">
        <v>1.6426807109515358</v>
      </c>
      <c r="AN58" s="6">
        <v>11.520307700435399</v>
      </c>
      <c r="AO58" s="6" t="s">
        <v>293</v>
      </c>
      <c r="AP58" s="6" t="s">
        <v>297</v>
      </c>
      <c r="AQ58" s="6"/>
      <c r="AR58" s="6"/>
      <c r="AS58" s="119" t="s">
        <v>396</v>
      </c>
    </row>
    <row r="59" spans="1:45" s="122" customFormat="1" ht="12.75" x14ac:dyDescent="0.2">
      <c r="A59" s="119" t="s">
        <v>13</v>
      </c>
      <c r="B59" s="119" t="s">
        <v>146</v>
      </c>
      <c r="C59" s="119">
        <v>225.23500000000001</v>
      </c>
      <c r="D59" s="125"/>
      <c r="E59" s="120">
        <v>60137.745000000003</v>
      </c>
      <c r="F59" s="125"/>
      <c r="G59" s="120">
        <v>55713.745000000003</v>
      </c>
      <c r="H59" s="120">
        <v>8959</v>
      </c>
      <c r="I59" s="121">
        <v>10107.411769480521</v>
      </c>
      <c r="J59" s="121">
        <v>8446</v>
      </c>
      <c r="K59" s="121">
        <v>9415.3158385093175</v>
      </c>
      <c r="L59" s="121">
        <v>10609.375541166106</v>
      </c>
      <c r="M59" s="121">
        <v>2872.0059999999999</v>
      </c>
      <c r="N59" s="121">
        <v>2617.0966666666668</v>
      </c>
      <c r="O59" s="121">
        <v>3107.6343333333334</v>
      </c>
      <c r="P59" s="121">
        <v>3317.4044289044286</v>
      </c>
      <c r="Q59" s="3" t="s">
        <v>404</v>
      </c>
      <c r="R59" s="3">
        <v>0.13943409844613949</v>
      </c>
      <c r="S59" s="80">
        <v>0.12818526280617482</v>
      </c>
      <c r="T59" s="80">
        <v>0.11476626077543428</v>
      </c>
      <c r="U59" s="80">
        <v>0.12682099285219928</v>
      </c>
      <c r="V59" s="3">
        <v>0.79158683083333325</v>
      </c>
      <c r="W59" s="3">
        <v>0.80010749999999997</v>
      </c>
      <c r="X59" s="4">
        <v>0.28802637955506855</v>
      </c>
      <c r="Y59" s="4">
        <v>0.31036630326545561</v>
      </c>
      <c r="Z59" s="3">
        <v>0.26721732336198234</v>
      </c>
      <c r="AA59" s="4">
        <v>0.28414851056845875</v>
      </c>
      <c r="AB59" s="4">
        <v>0.27796164372548754</v>
      </c>
      <c r="AC59" s="4">
        <v>0.29291397229508992</v>
      </c>
      <c r="AD59" s="5">
        <v>0.40665142180812186</v>
      </c>
      <c r="AE59" s="5">
        <v>0.41233377337463356</v>
      </c>
      <c r="AF59" s="6">
        <v>5.5121673352844374</v>
      </c>
      <c r="AG59" s="6">
        <v>5.9173527426585935</v>
      </c>
      <c r="AH59" s="6">
        <v>5.2513689221219098</v>
      </c>
      <c r="AI59" s="7">
        <v>0.43001568313037858</v>
      </c>
      <c r="AJ59" s="6">
        <v>19.398895754396058</v>
      </c>
      <c r="AK59" s="6">
        <v>21.288378725024806</v>
      </c>
      <c r="AL59" s="6">
        <v>17.92802467214343</v>
      </c>
      <c r="AM59" s="6">
        <v>1.5133483623408848</v>
      </c>
      <c r="AN59" s="6">
        <v>16.794378314132608</v>
      </c>
      <c r="AO59" s="6" t="s">
        <v>293</v>
      </c>
      <c r="AP59" s="6" t="s">
        <v>297</v>
      </c>
      <c r="AQ59" s="6"/>
      <c r="AR59" s="6" t="s">
        <v>355</v>
      </c>
      <c r="AS59" s="119" t="s">
        <v>396</v>
      </c>
    </row>
    <row r="60" spans="1:45" s="122" customFormat="1" ht="12.75" x14ac:dyDescent="0.2">
      <c r="A60" s="119" t="s">
        <v>31</v>
      </c>
      <c r="B60" s="119" t="s">
        <v>164</v>
      </c>
      <c r="C60" s="119">
        <v>35.9</v>
      </c>
      <c r="D60" s="125"/>
      <c r="E60" s="120">
        <v>15362.071063699997</v>
      </c>
      <c r="F60" s="125"/>
      <c r="G60" s="120">
        <v>16044.309063699997</v>
      </c>
      <c r="H60" s="120">
        <v>1803.6579999999999</v>
      </c>
      <c r="I60" s="121">
        <v>1990.5675057208239</v>
      </c>
      <c r="J60" s="121">
        <v>1813.2550000000001</v>
      </c>
      <c r="K60" s="121">
        <v>1833.7931034482758</v>
      </c>
      <c r="L60" s="121">
        <v>2051.6206896551726</v>
      </c>
      <c r="M60" s="121">
        <v>405.40500000000003</v>
      </c>
      <c r="N60" s="121">
        <v>373.27300000000002</v>
      </c>
      <c r="O60" s="121">
        <v>481.16899999999998</v>
      </c>
      <c r="P60" s="121">
        <v>464.35867091972358</v>
      </c>
      <c r="Q60" s="3" t="s">
        <v>404</v>
      </c>
      <c r="R60" s="3">
        <v>-8.2305904476591363E-2</v>
      </c>
      <c r="S60" s="80">
        <v>0.10362801912603392</v>
      </c>
      <c r="T60" s="80">
        <v>1.1326649284450152E-2</v>
      </c>
      <c r="U60" s="80">
        <v>0.11878525761564518</v>
      </c>
      <c r="V60" s="3">
        <v>0.82791999999999999</v>
      </c>
      <c r="W60" s="3">
        <v>0.83440000000000003</v>
      </c>
      <c r="X60" s="4">
        <v>0.20173377209477247</v>
      </c>
      <c r="Y60" s="4">
        <v>0.18421582600803402</v>
      </c>
      <c r="Z60" s="3">
        <v>0.21678111925875088</v>
      </c>
      <c r="AA60" s="4">
        <v>0.20366302515985002</v>
      </c>
      <c r="AB60" s="4">
        <v>0.20355240691989471</v>
      </c>
      <c r="AC60" s="4">
        <v>0.2345311696388053</v>
      </c>
      <c r="AD60" s="5">
        <v>0.13447521478215951</v>
      </c>
      <c r="AE60" s="5">
        <v>0.30729104428588394</v>
      </c>
      <c r="AF60" s="6">
        <v>8.060168277433041</v>
      </c>
      <c r="AG60" s="6">
        <v>8.7492471389112438</v>
      </c>
      <c r="AH60" s="6">
        <v>7.8203096432979793</v>
      </c>
      <c r="AI60" s="7">
        <v>0.7777981616757671</v>
      </c>
      <c r="AJ60" s="6">
        <v>39.576001933128587</v>
      </c>
      <c r="AK60" s="6">
        <v>42.982774172522511</v>
      </c>
      <c r="AL60" s="6">
        <v>33.344436286834764</v>
      </c>
      <c r="AM60" s="6">
        <v>3.8190445274260889</v>
      </c>
      <c r="AN60" s="6">
        <v>34.551544029364472</v>
      </c>
      <c r="AO60" s="6" t="s">
        <v>293</v>
      </c>
      <c r="AP60" s="6" t="s">
        <v>297</v>
      </c>
      <c r="AQ60" s="6"/>
      <c r="AR60" s="6"/>
      <c r="AS60" s="119" t="s">
        <v>396</v>
      </c>
    </row>
    <row r="61" spans="1:45" s="122" customFormat="1" ht="12.75" x14ac:dyDescent="0.2">
      <c r="A61" s="119" t="s">
        <v>104</v>
      </c>
      <c r="B61" s="119" t="s">
        <v>237</v>
      </c>
      <c r="C61" s="119">
        <v>334.85500000000002</v>
      </c>
      <c r="D61" s="125">
        <v>81.714309999999998</v>
      </c>
      <c r="E61" s="124">
        <v>27362.445275050002</v>
      </c>
      <c r="F61" s="125">
        <v>2262.5659999999989</v>
      </c>
      <c r="G61" s="124">
        <v>25099.879275050003</v>
      </c>
      <c r="H61" s="120">
        <v>2218.1889999999999</v>
      </c>
      <c r="I61" s="121">
        <v>2544.0063921063925</v>
      </c>
      <c r="J61" s="121">
        <v>2006.443</v>
      </c>
      <c r="K61" s="121">
        <v>2335.6706857944901</v>
      </c>
      <c r="L61" s="121">
        <v>2725.8485546054972</v>
      </c>
      <c r="M61" s="121">
        <v>254.779</v>
      </c>
      <c r="N61" s="121">
        <v>239.19166666666669</v>
      </c>
      <c r="O61" s="121">
        <v>312.178</v>
      </c>
      <c r="P61" s="121">
        <v>367.41959064327483</v>
      </c>
      <c r="Q61" s="3" t="s">
        <v>404</v>
      </c>
      <c r="R61" s="3">
        <v>0.21904638906139234</v>
      </c>
      <c r="S61" s="80">
        <v>0.14688441431563892</v>
      </c>
      <c r="T61" s="80">
        <v>0.16408524228921029</v>
      </c>
      <c r="U61" s="80">
        <v>0.16705174714229298</v>
      </c>
      <c r="V61" s="3">
        <v>0.74209749999999997</v>
      </c>
      <c r="W61" s="3">
        <v>0.74495250000000002</v>
      </c>
      <c r="X61" s="4">
        <v>0.14592211225362292</v>
      </c>
      <c r="Y61" s="4">
        <v>0.15292375627241289</v>
      </c>
      <c r="Z61" s="3">
        <v>0.10815219081872643</v>
      </c>
      <c r="AA61" s="4">
        <v>0.10014872635168479</v>
      </c>
      <c r="AB61" s="4">
        <v>0.10240812975965594</v>
      </c>
      <c r="AC61" s="4">
        <v>0.11452507127461468</v>
      </c>
      <c r="AD61" s="5">
        <v>0.3271985798801188</v>
      </c>
      <c r="AE61" s="5">
        <v>0.24703314066732371</v>
      </c>
      <c r="AF61" s="6">
        <v>9.8662799562652612</v>
      </c>
      <c r="AG61" s="6">
        <v>10.746326281229219</v>
      </c>
      <c r="AH61" s="6">
        <v>9.2080975051391381</v>
      </c>
      <c r="AI61" s="7">
        <v>0.6717036659222182</v>
      </c>
      <c r="AJ61" s="6">
        <v>98.516279893751076</v>
      </c>
      <c r="AK61" s="6">
        <v>104.93626147113542</v>
      </c>
      <c r="AL61" s="6">
        <v>80.402460375330747</v>
      </c>
      <c r="AM61" s="6">
        <v>6.7070614913608271</v>
      </c>
      <c r="AN61" s="6">
        <v>68.313938380654577</v>
      </c>
      <c r="AO61" s="6" t="s">
        <v>295</v>
      </c>
      <c r="AP61" s="6" t="s">
        <v>298</v>
      </c>
      <c r="AQ61" s="6"/>
      <c r="AR61" s="6" t="s">
        <v>367</v>
      </c>
      <c r="AS61" s="119" t="s">
        <v>397</v>
      </c>
    </row>
    <row r="62" spans="1:45" s="122" customFormat="1" ht="12.75" x14ac:dyDescent="0.2">
      <c r="A62" s="119" t="s">
        <v>108</v>
      </c>
      <c r="B62" s="119" t="s">
        <v>241</v>
      </c>
      <c r="C62" s="119">
        <v>54.545000000000002</v>
      </c>
      <c r="D62" s="125">
        <v>184</v>
      </c>
      <c r="E62" s="124">
        <v>10036.280000000001</v>
      </c>
      <c r="F62" s="125">
        <v>351.4</v>
      </c>
      <c r="G62" s="124">
        <v>9684.880000000001</v>
      </c>
      <c r="H62" s="120">
        <v>1732.325</v>
      </c>
      <c r="I62" s="121">
        <v>1793.0757575757577</v>
      </c>
      <c r="J62" s="121">
        <v>1497.18</v>
      </c>
      <c r="K62" s="121">
        <v>1736</v>
      </c>
      <c r="L62" s="121">
        <v>1846.3333333333333</v>
      </c>
      <c r="M62" s="121">
        <v>505.334</v>
      </c>
      <c r="N62" s="121">
        <v>457.649</v>
      </c>
      <c r="O62" s="121">
        <v>562.40499999999997</v>
      </c>
      <c r="P62" s="121">
        <v>465.62</v>
      </c>
      <c r="Q62" s="3" t="s">
        <v>404</v>
      </c>
      <c r="R62" s="3">
        <v>0.17002896831856112</v>
      </c>
      <c r="S62" s="80">
        <v>3.5068914652711003E-2</v>
      </c>
      <c r="T62" s="80">
        <v>0.15951321818351838</v>
      </c>
      <c r="U62" s="80">
        <v>6.3556067588325549E-2</v>
      </c>
      <c r="V62" s="3">
        <v>0.77189000000000008</v>
      </c>
      <c r="W62" s="3">
        <v>0.77626000000000006</v>
      </c>
      <c r="X62" s="4">
        <v>0.2622885944700461</v>
      </c>
      <c r="Y62" s="4">
        <v>0.27252229644340137</v>
      </c>
      <c r="Z62" s="3">
        <v>0.24865368796270912</v>
      </c>
      <c r="AA62" s="4">
        <v>0.28182523681164073</v>
      </c>
      <c r="AB62" s="4">
        <v>0.26362269585253456</v>
      </c>
      <c r="AC62" s="4">
        <v>0.30460642715291569</v>
      </c>
      <c r="AD62" s="5">
        <v>0.41868265628127022</v>
      </c>
      <c r="AE62" s="5">
        <v>0.31689415146435174</v>
      </c>
      <c r="AF62" s="6">
        <v>5.4012664880897052</v>
      </c>
      <c r="AG62" s="6">
        <v>5.5788479262672821</v>
      </c>
      <c r="AH62" s="6">
        <v>5.2454666907384011</v>
      </c>
      <c r="AI62" s="7">
        <v>1.5401863848877799</v>
      </c>
      <c r="AJ62" s="6">
        <v>19.165304531260514</v>
      </c>
      <c r="AK62" s="6">
        <v>21.162244427497932</v>
      </c>
      <c r="AL62" s="6">
        <v>17.220472790960255</v>
      </c>
      <c r="AM62" s="6">
        <v>5.4650406837666248</v>
      </c>
      <c r="AN62" s="6">
        <v>20.7999656372149</v>
      </c>
      <c r="AO62" s="6" t="s">
        <v>295</v>
      </c>
      <c r="AP62" s="6" t="s">
        <v>298</v>
      </c>
      <c r="AQ62" s="6"/>
      <c r="AR62" s="6"/>
      <c r="AS62" s="119" t="s">
        <v>397</v>
      </c>
    </row>
    <row r="63" spans="1:45" s="122" customFormat="1" ht="12.75" x14ac:dyDescent="0.2">
      <c r="A63" s="119" t="s">
        <v>5</v>
      </c>
      <c r="B63" s="119" t="s">
        <v>138</v>
      </c>
      <c r="C63" s="119">
        <v>234.39</v>
      </c>
      <c r="D63" s="129"/>
      <c r="E63" s="120">
        <v>223139.28</v>
      </c>
      <c r="F63" s="129"/>
      <c r="G63" s="120">
        <v>219576.28</v>
      </c>
      <c r="H63" s="120">
        <v>39502</v>
      </c>
      <c r="I63" s="121">
        <v>43021.653931339984</v>
      </c>
      <c r="J63" s="121">
        <v>37895</v>
      </c>
      <c r="K63" s="121">
        <v>40941.96759593625</v>
      </c>
      <c r="L63" s="121">
        <v>44561.309719657547</v>
      </c>
      <c r="M63" s="121">
        <v>14766.558000000001</v>
      </c>
      <c r="N63" s="121">
        <v>13657.603666666666</v>
      </c>
      <c r="O63" s="121">
        <v>15215.676333333337</v>
      </c>
      <c r="P63" s="121">
        <v>18245.214285714286</v>
      </c>
      <c r="Q63" s="3" t="s">
        <v>404</v>
      </c>
      <c r="R63" s="3">
        <v>8.3285342108871521E-2</v>
      </c>
      <c r="S63" s="80">
        <v>8.9100651393346775E-2</v>
      </c>
      <c r="T63" s="80">
        <v>8.0405530965463878E-2</v>
      </c>
      <c r="U63" s="80">
        <v>8.8401763184447812E-2</v>
      </c>
      <c r="V63" s="3">
        <v>0.79999770166666662</v>
      </c>
      <c r="W63" s="3">
        <v>0.8051625</v>
      </c>
      <c r="X63" s="4">
        <v>0.33805399396682717</v>
      </c>
      <c r="Y63" s="4">
        <v>0.34882714244990531</v>
      </c>
      <c r="Z63" s="3">
        <v>0.31603463115791608</v>
      </c>
      <c r="AA63" s="4">
        <v>0.34323547912794228</v>
      </c>
      <c r="AB63" s="4">
        <v>0.33358444815002664</v>
      </c>
      <c r="AC63" s="4">
        <v>0.34145487260265989</v>
      </c>
      <c r="AD63" s="5">
        <v>0.39931997326678759</v>
      </c>
      <c r="AE63" s="5">
        <v>0.43233613052128905</v>
      </c>
      <c r="AF63" s="6">
        <v>5.1038549180473343</v>
      </c>
      <c r="AG63" s="6">
        <v>5.3631101017674183</v>
      </c>
      <c r="AH63" s="6">
        <v>4.9275095678603282</v>
      </c>
      <c r="AI63" s="7">
        <v>0.57281903535314038</v>
      </c>
      <c r="AJ63" s="6">
        <v>14.869834933774003</v>
      </c>
      <c r="AK63" s="6">
        <v>16.077218621880739</v>
      </c>
      <c r="AL63" s="6">
        <v>14.430924737730463</v>
      </c>
      <c r="AM63" s="6">
        <v>1.6688806087543764</v>
      </c>
      <c r="AN63" s="6">
        <v>12.034732865369783</v>
      </c>
      <c r="AO63" s="6" t="s">
        <v>293</v>
      </c>
      <c r="AP63" s="6" t="s">
        <v>297</v>
      </c>
      <c r="AQ63" s="6"/>
      <c r="AR63" s="6" t="s">
        <v>346</v>
      </c>
      <c r="AS63" s="119" t="s">
        <v>396</v>
      </c>
    </row>
    <row r="64" spans="1:45" s="122" customFormat="1" ht="12.75" x14ac:dyDescent="0.2">
      <c r="A64" s="119" t="s">
        <v>42</v>
      </c>
      <c r="B64" s="119" t="s">
        <v>175</v>
      </c>
      <c r="C64" s="119" t="s">
        <v>402</v>
      </c>
      <c r="D64" s="129"/>
      <c r="E64" s="120" t="e">
        <v>#VALUE!</v>
      </c>
      <c r="F64" s="129"/>
      <c r="G64" s="120" t="s">
        <v>402</v>
      </c>
      <c r="H64" s="120">
        <v>1025.5999999999999</v>
      </c>
      <c r="I64" s="121">
        <v>1126.7666666666664</v>
      </c>
      <c r="J64" s="121">
        <v>944.8</v>
      </c>
      <c r="K64" s="121">
        <v>1054.5384615384617</v>
      </c>
      <c r="L64" s="121">
        <v>1153.5384615384614</v>
      </c>
      <c r="M64" s="121">
        <v>320.24299999999999</v>
      </c>
      <c r="N64" s="121">
        <v>241.15600000000001</v>
      </c>
      <c r="O64" s="121">
        <v>237.565</v>
      </c>
      <c r="P64" s="121">
        <v>457.94696969696969</v>
      </c>
      <c r="Q64" s="3" t="s">
        <v>404</v>
      </c>
      <c r="R64" s="3">
        <v>0.10643981198290703</v>
      </c>
      <c r="S64" s="80">
        <v>9.8641445657826177E-2</v>
      </c>
      <c r="T64" s="80">
        <v>0.11614993812284258</v>
      </c>
      <c r="U64" s="80">
        <v>9.3879932890801543E-2</v>
      </c>
      <c r="V64" s="3">
        <v>0.76546999999999998</v>
      </c>
      <c r="W64" s="3">
        <v>0.77457000000000009</v>
      </c>
      <c r="X64" s="4">
        <v>0.3498374060835947</v>
      </c>
      <c r="Y64" s="4">
        <v>0.35925720192051219</v>
      </c>
      <c r="Z64" s="3">
        <v>-0.15120417316692672</v>
      </c>
      <c r="AA64" s="4">
        <v>0.2842141230068338</v>
      </c>
      <c r="AB64" s="4">
        <v>0.22868393026478953</v>
      </c>
      <c r="AC64" s="4">
        <v>0.20594458522272607</v>
      </c>
      <c r="AD64" s="5">
        <v>-4.4764361184019691E-2</v>
      </c>
      <c r="AE64" s="5">
        <v>0.38285556866465997</v>
      </c>
      <c r="AF64" s="6" t="e">
        <v>#VALUE!</v>
      </c>
      <c r="AG64" s="6" t="e">
        <v>#VALUE!</v>
      </c>
      <c r="AH64" s="6" t="e">
        <v>#VALUE!</v>
      </c>
      <c r="AI64" s="7" t="e">
        <v>#VALUE!</v>
      </c>
      <c r="AJ64" s="6" t="e">
        <v>#VALUE!</v>
      </c>
      <c r="AK64" s="6" t="e">
        <v>#VALUE!</v>
      </c>
      <c r="AL64" s="6" t="e">
        <v>#VALUE!</v>
      </c>
      <c r="AM64" s="6" t="e">
        <v>#VALUE!</v>
      </c>
      <c r="AN64" s="6" t="e">
        <v>#VALUE!</v>
      </c>
      <c r="AO64" s="6" t="s">
        <v>294</v>
      </c>
      <c r="AP64" s="6" t="s">
        <v>297</v>
      </c>
      <c r="AQ64" s="6"/>
      <c r="AR64" s="6"/>
      <c r="AS64" s="119" t="s">
        <v>396</v>
      </c>
    </row>
    <row r="65" spans="1:45" s="122" customFormat="1" ht="12.75" x14ac:dyDescent="0.2">
      <c r="A65" s="119" t="s">
        <v>59</v>
      </c>
      <c r="B65" s="119" t="s">
        <v>192</v>
      </c>
      <c r="C65" s="119">
        <v>20.420000000000002</v>
      </c>
      <c r="D65" s="129"/>
      <c r="E65" s="120">
        <v>2144.1819046199998</v>
      </c>
      <c r="F65" s="129"/>
      <c r="G65" s="120">
        <v>2070.9959046199997</v>
      </c>
      <c r="H65" s="120">
        <v>412.50400000000002</v>
      </c>
      <c r="I65" s="121">
        <v>520.79999999999995</v>
      </c>
      <c r="J65" s="121">
        <v>333.84899999999999</v>
      </c>
      <c r="K65" s="121">
        <v>442.88888888888891</v>
      </c>
      <c r="L65" s="121">
        <v>548.20000000000005</v>
      </c>
      <c r="M65" s="121">
        <v>60.816000000000003</v>
      </c>
      <c r="N65" s="121">
        <v>39.463999999999999</v>
      </c>
      <c r="O65" s="121">
        <v>72.554000000000002</v>
      </c>
      <c r="P65" s="121">
        <v>90.198888888888902</v>
      </c>
      <c r="Q65" s="3" t="s">
        <v>404</v>
      </c>
      <c r="R65" s="3">
        <v>0.30720428948986234</v>
      </c>
      <c r="S65" s="80">
        <v>0.26253321179915812</v>
      </c>
      <c r="T65" s="80">
        <v>0.32661439419884108</v>
      </c>
      <c r="U65" s="80">
        <v>0.23778223783241348</v>
      </c>
      <c r="V65" s="3">
        <v>0.64461000000000002</v>
      </c>
      <c r="W65" s="3">
        <v>0.65693000000000001</v>
      </c>
      <c r="X65" s="4">
        <v>0.12066909182137479</v>
      </c>
      <c r="Y65" s="4">
        <v>0.18856439255746077</v>
      </c>
      <c r="Z65" s="3">
        <v>7.5383511432616415E-2</v>
      </c>
      <c r="AA65" s="4">
        <v>0.11677419354838711</v>
      </c>
      <c r="AB65" s="4">
        <v>8.9105870546914198E-2</v>
      </c>
      <c r="AC65" s="4">
        <v>0.13234950747902224</v>
      </c>
      <c r="AD65" s="5">
        <v>0.38258780092247874</v>
      </c>
      <c r="AE65" s="5">
        <v>0.37930740534754526</v>
      </c>
      <c r="AF65" s="6">
        <v>3.9765666371351762</v>
      </c>
      <c r="AG65" s="6">
        <v>4.6761071604565974</v>
      </c>
      <c r="AH65" s="6">
        <v>3.7778108438890907</v>
      </c>
      <c r="AI65" s="7">
        <v>0.15146908880150789</v>
      </c>
      <c r="AJ65" s="6">
        <v>34.053471201986312</v>
      </c>
      <c r="AK65" s="6">
        <v>52.478104211939993</v>
      </c>
      <c r="AL65" s="6">
        <v>28.54420024561016</v>
      </c>
      <c r="AM65" s="6">
        <v>1.2971109814493769</v>
      </c>
      <c r="AN65" s="6">
        <v>22.960326120770144</v>
      </c>
      <c r="AO65" s="6" t="s">
        <v>294</v>
      </c>
      <c r="AP65" s="6" t="s">
        <v>297</v>
      </c>
      <c r="AQ65" s="6"/>
      <c r="AR65" s="6"/>
      <c r="AS65" s="119" t="s">
        <v>396</v>
      </c>
    </row>
    <row r="66" spans="1:45" s="122" customFormat="1" ht="12.75" x14ac:dyDescent="0.2">
      <c r="A66" s="119" t="s">
        <v>33</v>
      </c>
      <c r="B66" s="119" t="s">
        <v>166</v>
      </c>
      <c r="C66" s="119">
        <v>145.62</v>
      </c>
      <c r="D66" s="129"/>
      <c r="E66" s="120">
        <v>7919.0496113399995</v>
      </c>
      <c r="F66" s="129"/>
      <c r="G66" s="120">
        <v>7889.4026113399996</v>
      </c>
      <c r="H66" s="120">
        <v>1640.4369999999999</v>
      </c>
      <c r="I66" s="121">
        <v>1751.1900584795324</v>
      </c>
      <c r="J66" s="121">
        <v>1595.221</v>
      </c>
      <c r="K66" s="121">
        <v>1672.0681111111112</v>
      </c>
      <c r="L66" s="121">
        <v>1782.8142414860683</v>
      </c>
      <c r="M66" s="121">
        <v>431.67900000000003</v>
      </c>
      <c r="N66" s="121">
        <v>378.99900000000002</v>
      </c>
      <c r="O66" s="121">
        <v>429.44799999999998</v>
      </c>
      <c r="P66" s="121">
        <v>621.46</v>
      </c>
      <c r="Q66" s="3" t="s">
        <v>404</v>
      </c>
      <c r="R66" s="3">
        <v>0.13298846248148188</v>
      </c>
      <c r="S66" s="80">
        <v>6.7514362623820601E-2</v>
      </c>
      <c r="T66" s="80">
        <v>4.817333216595765E-2</v>
      </c>
      <c r="U66" s="80">
        <v>6.6233025819363744E-2</v>
      </c>
      <c r="V66" s="3">
        <v>0.71754999999999991</v>
      </c>
      <c r="W66" s="3">
        <v>0.74810500000000002</v>
      </c>
      <c r="X66" s="4">
        <v>0.30457012882183893</v>
      </c>
      <c r="Y66" s="4">
        <v>0.30237698771726612</v>
      </c>
      <c r="Z66" s="3">
        <v>0.20484358740994016</v>
      </c>
      <c r="AA66" s="4">
        <v>0.24650608191255069</v>
      </c>
      <c r="AB66" s="4">
        <v>0.22666480957414481</v>
      </c>
      <c r="AC66" s="4">
        <v>0.24088207846154108</v>
      </c>
      <c r="AD66" s="5">
        <v>0.33783204989142201</v>
      </c>
      <c r="AE66" s="5">
        <v>0.31402044453637129</v>
      </c>
      <c r="AF66" s="6">
        <v>4.5051663999223246</v>
      </c>
      <c r="AG66" s="6">
        <v>4.718350023491201</v>
      </c>
      <c r="AH66" s="6">
        <v>4.4252521814969192</v>
      </c>
      <c r="AI66" s="7">
        <v>0.66729007352471092</v>
      </c>
      <c r="AJ66" s="6">
        <v>18.276086192147403</v>
      </c>
      <c r="AK66" s="6">
        <v>20.816420653722037</v>
      </c>
      <c r="AL66" s="6">
        <v>18.371031210623869</v>
      </c>
      <c r="AM66" s="6">
        <v>2.7069923319840665</v>
      </c>
      <c r="AN66" s="6">
        <v>12.694948365687251</v>
      </c>
      <c r="AO66" s="6" t="s">
        <v>293</v>
      </c>
      <c r="AP66" s="6" t="s">
        <v>297</v>
      </c>
      <c r="AQ66" s="6"/>
      <c r="AR66" s="6" t="s">
        <v>356</v>
      </c>
      <c r="AS66" s="119" t="s">
        <v>396</v>
      </c>
    </row>
    <row r="67" spans="1:45" s="122" customFormat="1" ht="12.75" x14ac:dyDescent="0.2">
      <c r="A67" s="119" t="s">
        <v>19</v>
      </c>
      <c r="B67" s="119" t="s">
        <v>152</v>
      </c>
      <c r="C67" s="119">
        <v>125.2565</v>
      </c>
      <c r="D67" s="129"/>
      <c r="E67" s="120">
        <v>16927.3662002735</v>
      </c>
      <c r="F67" s="129"/>
      <c r="G67" s="120">
        <v>19853.266200273501</v>
      </c>
      <c r="H67" s="120">
        <v>4869.8</v>
      </c>
      <c r="I67" s="121">
        <v>5188.6066176470586</v>
      </c>
      <c r="J67" s="121">
        <v>4573.2</v>
      </c>
      <c r="K67" s="121">
        <v>4944.666666666667</v>
      </c>
      <c r="L67" s="121">
        <v>5283.833333333333</v>
      </c>
      <c r="M67" s="121">
        <v>1718.2619999999999</v>
      </c>
      <c r="N67" s="121">
        <v>1606.2450000000001</v>
      </c>
      <c r="O67" s="121">
        <v>1773.6369999999999</v>
      </c>
      <c r="P67" s="121">
        <v>1694.5374999999999</v>
      </c>
      <c r="Q67" s="3" t="s">
        <v>404</v>
      </c>
      <c r="R67" s="3">
        <v>8.6790600102657878E-2</v>
      </c>
      <c r="S67" s="80">
        <v>6.5466059724641257E-2</v>
      </c>
      <c r="T67" s="80">
        <v>8.1226857925887241E-2</v>
      </c>
      <c r="U67" s="80">
        <v>6.8592422812457698E-2</v>
      </c>
      <c r="V67" s="3">
        <v>0.63527</v>
      </c>
      <c r="W67" s="3">
        <v>0.63746999999999998</v>
      </c>
      <c r="X67" s="4">
        <v>0.22764790346501279</v>
      </c>
      <c r="Y67" s="4">
        <v>0.24368122890578184</v>
      </c>
      <c r="Z67" s="3">
        <v>0.31580352375867599</v>
      </c>
      <c r="AA67" s="4">
        <v>0.33116058445363533</v>
      </c>
      <c r="AB67" s="4">
        <v>0.32484393959822033</v>
      </c>
      <c r="AC67" s="4">
        <v>0.3356723969340441</v>
      </c>
      <c r="AD67" s="5">
        <v>0.40259412386133386</v>
      </c>
      <c r="AE67" s="5">
        <v>0.39662664417827659</v>
      </c>
      <c r="AF67" s="6">
        <v>3.8263194077481648</v>
      </c>
      <c r="AG67" s="6">
        <v>4.0150868680612444</v>
      </c>
      <c r="AH67" s="6">
        <v>3.7573604138927235</v>
      </c>
      <c r="AI67" s="7">
        <v>0.58447375996694484</v>
      </c>
      <c r="AJ67" s="6">
        <v>11.554271816680751</v>
      </c>
      <c r="AK67" s="6">
        <v>12.360048560632718</v>
      </c>
      <c r="AL67" s="6">
        <v>11.193534077307534</v>
      </c>
      <c r="AM67" s="6">
        <v>1.7649254996068984</v>
      </c>
      <c r="AN67" s="6">
        <v>11.716038270190836</v>
      </c>
      <c r="AO67" s="6" t="s">
        <v>293</v>
      </c>
      <c r="AP67" s="6" t="s">
        <v>297</v>
      </c>
      <c r="AQ67" s="6"/>
      <c r="AR67" s="6" t="s">
        <v>352</v>
      </c>
      <c r="AS67" s="119" t="s">
        <v>396</v>
      </c>
    </row>
    <row r="68" spans="1:45" s="122" customFormat="1" ht="12.75" x14ac:dyDescent="0.2">
      <c r="A68" s="119" t="s">
        <v>103</v>
      </c>
      <c r="B68" s="119" t="s">
        <v>236</v>
      </c>
      <c r="C68" s="119">
        <v>81.260000000000005</v>
      </c>
      <c r="D68" s="129"/>
      <c r="E68" s="120">
        <v>14331.735270059999</v>
      </c>
      <c r="F68" s="129"/>
      <c r="G68" s="120">
        <v>12413.735270059999</v>
      </c>
      <c r="H68" s="120">
        <v>2763</v>
      </c>
      <c r="I68" s="121">
        <v>3007.7195121951218</v>
      </c>
      <c r="J68" s="121">
        <v>2610</v>
      </c>
      <c r="K68" s="121">
        <v>2866.1280487804879</v>
      </c>
      <c r="L68" s="121">
        <v>3124.9140337471154</v>
      </c>
      <c r="M68" s="121">
        <v>837.93500000000006</v>
      </c>
      <c r="N68" s="121">
        <v>823.26499999999999</v>
      </c>
      <c r="O68" s="121">
        <v>883.35533333333319</v>
      </c>
      <c r="P68" s="121">
        <v>814.22222222222217</v>
      </c>
      <c r="Q68" s="3" t="s">
        <v>404</v>
      </c>
      <c r="R68" s="3">
        <v>0.1268352365415987</v>
      </c>
      <c r="S68" s="80">
        <v>8.8570217949736518E-2</v>
      </c>
      <c r="T68" s="80">
        <v>9.8133352023175524E-2</v>
      </c>
      <c r="U68" s="80">
        <v>9.0291145602074074E-2</v>
      </c>
      <c r="V68" s="3">
        <v>0.81671833333333321</v>
      </c>
      <c r="W68" s="3">
        <v>0.81739166666666674</v>
      </c>
      <c r="X68" s="4">
        <v>0.2543203423785666</v>
      </c>
      <c r="Y68" s="4">
        <v>0.2611213165720962</v>
      </c>
      <c r="Z68" s="3">
        <v>0.30691277596815059</v>
      </c>
      <c r="AA68" s="4">
        <v>0.27859479469495163</v>
      </c>
      <c r="AB68" s="4">
        <v>0.28723943452222656</v>
      </c>
      <c r="AC68" s="4">
        <v>0.28268148300837992</v>
      </c>
      <c r="AD68" s="5">
        <v>0.43374801250974926</v>
      </c>
      <c r="AE68" s="5">
        <v>0.36716501264468815</v>
      </c>
      <c r="AF68" s="6">
        <v>4.1272915309180842</v>
      </c>
      <c r="AG68" s="6">
        <v>4.3311865550954476</v>
      </c>
      <c r="AH68" s="6">
        <v>3.9725045668454966</v>
      </c>
      <c r="AI68" s="7">
        <v>0.46599089699206986</v>
      </c>
      <c r="AJ68" s="6">
        <v>14.814675684939759</v>
      </c>
      <c r="AK68" s="6">
        <v>15.078662727141319</v>
      </c>
      <c r="AL68" s="6">
        <v>14.052935213756941</v>
      </c>
      <c r="AM68" s="6">
        <v>1.6726475363701905</v>
      </c>
      <c r="AN68" s="6">
        <v>15.246126832770196</v>
      </c>
      <c r="AO68" s="6" t="s">
        <v>295</v>
      </c>
      <c r="AP68" s="6" t="s">
        <v>298</v>
      </c>
      <c r="AQ68" s="6"/>
      <c r="AR68" s="6"/>
      <c r="AS68" s="119" t="s">
        <v>396</v>
      </c>
    </row>
    <row r="69" spans="1:45" s="122" customFormat="1" ht="12.75" x14ac:dyDescent="0.2">
      <c r="A69" s="119" t="s">
        <v>54</v>
      </c>
      <c r="B69" s="119" t="s">
        <v>187</v>
      </c>
      <c r="C69" s="119">
        <v>24.83</v>
      </c>
      <c r="D69" s="129"/>
      <c r="E69" s="120">
        <v>2875.6794976000001</v>
      </c>
      <c r="F69" s="129"/>
      <c r="G69" s="120">
        <v>2829.0744976000001</v>
      </c>
      <c r="H69" s="120">
        <v>573.11900000000003</v>
      </c>
      <c r="I69" s="121">
        <v>606.72023809523807</v>
      </c>
      <c r="J69" s="121">
        <v>540.65700000000004</v>
      </c>
      <c r="K69" s="121">
        <v>585.86090838509313</v>
      </c>
      <c r="L69" s="121">
        <v>632.28134953814288</v>
      </c>
      <c r="M69" s="121">
        <v>105.735</v>
      </c>
      <c r="N69" s="121">
        <v>67.41500000000002</v>
      </c>
      <c r="O69" s="121">
        <v>118.44066666666667</v>
      </c>
      <c r="P69" s="121">
        <v>148.90727272727273</v>
      </c>
      <c r="Q69" s="3" t="s">
        <v>404</v>
      </c>
      <c r="R69" s="3">
        <v>0.13236651024944437</v>
      </c>
      <c r="S69" s="80">
        <v>5.8628728231376215E-2</v>
      </c>
      <c r="T69" s="80">
        <v>8.3609216906639583E-2</v>
      </c>
      <c r="U69" s="80">
        <v>7.9234576823031588E-2</v>
      </c>
      <c r="V69" s="3">
        <v>0.66797266083333329</v>
      </c>
      <c r="W69" s="3">
        <v>0.68334416666666686</v>
      </c>
      <c r="X69" s="4">
        <v>0.20024036135704895</v>
      </c>
      <c r="Y69" s="4">
        <v>0.2316442410333942</v>
      </c>
      <c r="Z69" s="3">
        <v>0.10428549742723588</v>
      </c>
      <c r="AA69" s="4">
        <v>0.17427307243277185</v>
      </c>
      <c r="AB69" s="4">
        <v>0.11506997486114462</v>
      </c>
      <c r="AC69" s="4">
        <v>0.18732272706317055</v>
      </c>
      <c r="AD69" s="5">
        <v>0.23665200767668026</v>
      </c>
      <c r="AE69" s="5">
        <v>0.23290180066414806</v>
      </c>
      <c r="AF69" s="6">
        <v>4.6628978563195957</v>
      </c>
      <c r="AG69" s="6">
        <v>4.8289183611827822</v>
      </c>
      <c r="AH69" s="6">
        <v>4.474391818873876</v>
      </c>
      <c r="AI69" s="7">
        <v>0.7953264546209553</v>
      </c>
      <c r="AJ69" s="6">
        <v>26.756272734666858</v>
      </c>
      <c r="AK69" s="6">
        <v>41.965059669213069</v>
      </c>
      <c r="AL69" s="6">
        <v>23.886006193818563</v>
      </c>
      <c r="AM69" s="6">
        <v>4.5636795376277259</v>
      </c>
      <c r="AN69" s="6">
        <v>18.998900764111895</v>
      </c>
      <c r="AO69" s="6" t="s">
        <v>294</v>
      </c>
      <c r="AP69" s="6" t="s">
        <v>297</v>
      </c>
      <c r="AQ69" s="6"/>
      <c r="AR69" s="6"/>
      <c r="AS69" s="119" t="s">
        <v>396</v>
      </c>
    </row>
    <row r="70" spans="1:45" s="122" customFormat="1" ht="12.75" x14ac:dyDescent="0.2">
      <c r="A70" s="119" t="s">
        <v>51</v>
      </c>
      <c r="B70" s="119" t="s">
        <v>184</v>
      </c>
      <c r="C70" s="119">
        <v>52.32</v>
      </c>
      <c r="D70" s="125">
        <v>63.197000000000003</v>
      </c>
      <c r="E70" s="124">
        <v>3306.46704</v>
      </c>
      <c r="F70" s="125">
        <v>-6</v>
      </c>
      <c r="G70" s="124">
        <v>3312.46704</v>
      </c>
      <c r="H70" s="120">
        <v>686.70600000000002</v>
      </c>
      <c r="I70" s="121">
        <v>744.84615384615381</v>
      </c>
      <c r="J70" s="121">
        <v>653.33600000000001</v>
      </c>
      <c r="K70" s="121">
        <v>700</v>
      </c>
      <c r="L70" s="121">
        <v>761.21428571428578</v>
      </c>
      <c r="M70" s="121">
        <v>192.489</v>
      </c>
      <c r="N70" s="121">
        <v>164.03300000000002</v>
      </c>
      <c r="O70" s="121">
        <v>192.268</v>
      </c>
      <c r="P70" s="121">
        <v>213.54285714285712</v>
      </c>
      <c r="Q70" s="3" t="s">
        <v>404</v>
      </c>
      <c r="R70" s="3">
        <v>7.3639084061125154E-2</v>
      </c>
      <c r="S70" s="80">
        <v>8.4665277201821043E-2</v>
      </c>
      <c r="T70" s="80">
        <v>7.1424198268578376E-2</v>
      </c>
      <c r="U70" s="80">
        <v>8.7448979591836729E-2</v>
      </c>
      <c r="V70" s="3">
        <v>0.79697000000000007</v>
      </c>
      <c r="W70" s="3">
        <v>0.80269999999999997</v>
      </c>
      <c r="X70" s="4">
        <v>0.22255142857142857</v>
      </c>
      <c r="Y70" s="4">
        <v>0.23918494885990427</v>
      </c>
      <c r="Z70" s="3">
        <v>0.25989870483147082</v>
      </c>
      <c r="AA70" s="4">
        <v>0.25842786326551692</v>
      </c>
      <c r="AB70" s="4">
        <v>0.23433285714285718</v>
      </c>
      <c r="AC70" s="4">
        <v>0.25258065121516371</v>
      </c>
      <c r="AD70" s="5">
        <v>0.333537788892596</v>
      </c>
      <c r="AE70" s="5">
        <v>0.34309314046733796</v>
      </c>
      <c r="AF70" s="6">
        <v>4.4471828482908196</v>
      </c>
      <c r="AG70" s="6">
        <v>4.7320957714285719</v>
      </c>
      <c r="AH70" s="6">
        <v>4.3515565881580178</v>
      </c>
      <c r="AI70" s="7">
        <v>0.52526643687586805</v>
      </c>
      <c r="AJ70" s="6">
        <v>17.208604335832177</v>
      </c>
      <c r="AK70" s="6">
        <v>20.193906348112879</v>
      </c>
      <c r="AL70" s="6">
        <v>17.22838454657041</v>
      </c>
      <c r="AM70" s="6">
        <v>2.0325456792412231</v>
      </c>
      <c r="AN70" s="6">
        <v>15.51195429488895</v>
      </c>
      <c r="AO70" s="6" t="s">
        <v>293</v>
      </c>
      <c r="AP70" s="6" t="s">
        <v>297</v>
      </c>
      <c r="AQ70" s="6"/>
      <c r="AR70" s="6" t="s">
        <v>358</v>
      </c>
      <c r="AS70" s="119" t="s">
        <v>396</v>
      </c>
    </row>
    <row r="71" spans="1:45" s="122" customFormat="1" ht="12.75" x14ac:dyDescent="0.2">
      <c r="A71" s="119" t="s">
        <v>35</v>
      </c>
      <c r="B71" s="119" t="s">
        <v>168</v>
      </c>
      <c r="C71" s="119">
        <v>68.92</v>
      </c>
      <c r="D71" s="125"/>
      <c r="E71" s="120">
        <v>11029.609649960001</v>
      </c>
      <c r="F71" s="125"/>
      <c r="G71" s="120">
        <v>11628.90964996</v>
      </c>
      <c r="H71" s="120">
        <v>1893.3</v>
      </c>
      <c r="I71" s="121">
        <v>2105.6291666666666</v>
      </c>
      <c r="J71" s="121">
        <v>1760</v>
      </c>
      <c r="K71" s="121">
        <v>1944.75</v>
      </c>
      <c r="L71" s="121">
        <v>2163.75</v>
      </c>
      <c r="M71" s="121">
        <v>315.69600000000003</v>
      </c>
      <c r="N71" s="121">
        <v>250.96299999999999</v>
      </c>
      <c r="O71" s="121">
        <v>327.923</v>
      </c>
      <c r="P71" s="121">
        <v>686.98333333333335</v>
      </c>
      <c r="Q71" s="3" t="s">
        <v>404</v>
      </c>
      <c r="R71" s="3">
        <v>0.11732074358217762</v>
      </c>
      <c r="S71" s="80">
        <v>0.11214766105037066</v>
      </c>
      <c r="T71" s="80">
        <v>0.10497159090909092</v>
      </c>
      <c r="U71" s="80">
        <v>0.11261087543386039</v>
      </c>
      <c r="V71" s="3">
        <v>0.47060000000000002</v>
      </c>
      <c r="W71" s="3">
        <v>0.53158000000000005</v>
      </c>
      <c r="X71" s="4">
        <v>0.26327291425633115</v>
      </c>
      <c r="Y71" s="4">
        <v>0.27458948584633164</v>
      </c>
      <c r="Z71" s="3">
        <v>8.7571964295146063E-2</v>
      </c>
      <c r="AA71" s="4">
        <v>0.14992953412578586</v>
      </c>
      <c r="AB71" s="4">
        <v>0.12904640699318679</v>
      </c>
      <c r="AC71" s="4">
        <v>0.1515530906990179</v>
      </c>
      <c r="AD71" s="5">
        <v>0.20489270787732367</v>
      </c>
      <c r="AE71" s="5">
        <v>0.26207719517615652</v>
      </c>
      <c r="AF71" s="6">
        <v>5.5227719268199724</v>
      </c>
      <c r="AG71" s="6">
        <v>5.9796424475948067</v>
      </c>
      <c r="AH71" s="6">
        <v>5.3744238705765452</v>
      </c>
      <c r="AI71" s="7">
        <v>0.49245538204666095</v>
      </c>
      <c r="AJ71" s="6">
        <v>36.835783950255937</v>
      </c>
      <c r="AK71" s="6">
        <v>46.337147906105685</v>
      </c>
      <c r="AL71" s="6">
        <v>35.462317830588276</v>
      </c>
      <c r="AM71" s="6">
        <v>3.284578885128179</v>
      </c>
      <c r="AN71" s="6">
        <v>16.927498944603215</v>
      </c>
      <c r="AO71" s="6" t="s">
        <v>293</v>
      </c>
      <c r="AP71" s="6" t="s">
        <v>297</v>
      </c>
      <c r="AQ71" s="6"/>
      <c r="AR71" s="6" t="s">
        <v>356</v>
      </c>
      <c r="AS71" s="119" t="s">
        <v>396</v>
      </c>
    </row>
    <row r="72" spans="1:45" s="122" customFormat="1" ht="12.75" x14ac:dyDescent="0.2">
      <c r="A72" s="119" t="s">
        <v>109</v>
      </c>
      <c r="B72" s="119" t="s">
        <v>242</v>
      </c>
      <c r="C72" s="119">
        <v>87.7</v>
      </c>
      <c r="D72" s="125">
        <v>113.2</v>
      </c>
      <c r="E72" s="124">
        <v>9927.6400000000012</v>
      </c>
      <c r="F72" s="125">
        <v>827.53100000000086</v>
      </c>
      <c r="G72" s="124">
        <v>9100.1090000000004</v>
      </c>
      <c r="H72" s="120">
        <v>1551.164</v>
      </c>
      <c r="I72" s="121">
        <v>1750.2279202279201</v>
      </c>
      <c r="J72" s="121">
        <v>1483.296</v>
      </c>
      <c r="K72" s="121">
        <v>1636.5382869751022</v>
      </c>
      <c r="L72" s="121">
        <v>1848.0716586151368</v>
      </c>
      <c r="M72" s="121">
        <v>325.64300000000003</v>
      </c>
      <c r="N72" s="121">
        <v>304.81700000000001</v>
      </c>
      <c r="O72" s="121">
        <v>355.96133333333336</v>
      </c>
      <c r="P72" s="121">
        <v>294.72222222222223</v>
      </c>
      <c r="Q72" s="3" t="s">
        <v>404</v>
      </c>
      <c r="R72" s="3">
        <v>0.17424533758065944</v>
      </c>
      <c r="S72" s="80">
        <v>0.12833196246684442</v>
      </c>
      <c r="T72" s="80">
        <v>0.10331200716182209</v>
      </c>
      <c r="U72" s="80">
        <v>0.12925659810319656</v>
      </c>
      <c r="V72" s="3">
        <v>0.7755266666666667</v>
      </c>
      <c r="W72" s="3">
        <v>0.77861000000000002</v>
      </c>
      <c r="X72" s="4">
        <v>0.15952941772145166</v>
      </c>
      <c r="Y72" s="4">
        <v>0.1702273458211436</v>
      </c>
      <c r="Z72" s="3">
        <v>0.20242540440598153</v>
      </c>
      <c r="AA72" s="4">
        <v>0.18605748213500889</v>
      </c>
      <c r="AB72" s="4">
        <v>0.18625717615406903</v>
      </c>
      <c r="AC72" s="4">
        <v>0.19261230032610047</v>
      </c>
      <c r="AD72" s="5">
        <v>0.37667074198664097</v>
      </c>
      <c r="AE72" s="5">
        <v>0.31438944460185331</v>
      </c>
      <c r="AF72" s="6">
        <v>5.1993851171194638</v>
      </c>
      <c r="AG72" s="6">
        <v>5.5605842358996682</v>
      </c>
      <c r="AH72" s="6">
        <v>4.9241104681077248</v>
      </c>
      <c r="AI72" s="7">
        <v>0.40515122009941729</v>
      </c>
      <c r="AJ72" s="6">
        <v>27.945047183572193</v>
      </c>
      <c r="AK72" s="6">
        <v>29.854335552150964</v>
      </c>
      <c r="AL72" s="6">
        <v>25.564880642466782</v>
      </c>
      <c r="AM72" s="6">
        <v>2.177559405030685</v>
      </c>
      <c r="AN72" s="6">
        <v>30.876901413760603</v>
      </c>
      <c r="AO72" s="6" t="s">
        <v>295</v>
      </c>
      <c r="AP72" s="6" t="s">
        <v>298</v>
      </c>
      <c r="AQ72" s="6"/>
      <c r="AR72" s="6" t="s">
        <v>368</v>
      </c>
      <c r="AS72" s="119" t="s">
        <v>397</v>
      </c>
    </row>
    <row r="73" spans="1:45" s="122" customFormat="1" ht="12.75" x14ac:dyDescent="0.2">
      <c r="A73" s="119" t="s">
        <v>73</v>
      </c>
      <c r="B73" s="119" t="s">
        <v>206</v>
      </c>
      <c r="C73" s="119">
        <v>20.010000000000002</v>
      </c>
      <c r="D73" s="125"/>
      <c r="E73" s="120">
        <v>1478.23178652</v>
      </c>
      <c r="F73" s="125"/>
      <c r="G73" s="120">
        <v>1853.9007865200001</v>
      </c>
      <c r="H73" s="120">
        <v>325.89100000000002</v>
      </c>
      <c r="I73" s="121">
        <v>342.15</v>
      </c>
      <c r="J73" s="121">
        <v>316.298</v>
      </c>
      <c r="K73" s="121">
        <v>333</v>
      </c>
      <c r="L73" s="121">
        <v>352</v>
      </c>
      <c r="M73" s="121">
        <v>82.006</v>
      </c>
      <c r="N73" s="121">
        <v>90.01</v>
      </c>
      <c r="O73" s="121">
        <v>101.074</v>
      </c>
      <c r="P73" s="121">
        <v>138.15</v>
      </c>
      <c r="Q73" s="3" t="s">
        <v>404</v>
      </c>
      <c r="R73" s="3">
        <v>5.9604823789906766E-2</v>
      </c>
      <c r="S73" s="80">
        <v>4.9890914446854895E-2</v>
      </c>
      <c r="T73" s="80">
        <v>5.2804633605018081E-2</v>
      </c>
      <c r="U73" s="80">
        <v>5.7057057057056992E-2</v>
      </c>
      <c r="V73" s="3">
        <v>0.67299999999999993</v>
      </c>
      <c r="W73" s="3">
        <v>0.70787999999999995</v>
      </c>
      <c r="X73" s="4">
        <v>0.23633633633633636</v>
      </c>
      <c r="Y73" s="4">
        <v>0.24346590909090909</v>
      </c>
      <c r="Z73" s="3">
        <v>0.2716061505227208</v>
      </c>
      <c r="AA73" s="4">
        <v>0.23967850358030104</v>
      </c>
      <c r="AB73" s="4">
        <v>0.27030030030030033</v>
      </c>
      <c r="AC73" s="4">
        <v>0.28714204545454547</v>
      </c>
      <c r="AD73" s="5">
        <v>0.33121097431262758</v>
      </c>
      <c r="AE73" s="5">
        <v>0.28956941802715597</v>
      </c>
      <c r="AF73" s="6">
        <v>5.4183860485751874</v>
      </c>
      <c r="AG73" s="6">
        <v>5.5672696291891892</v>
      </c>
      <c r="AH73" s="6">
        <v>5.2667635980681817</v>
      </c>
      <c r="AI73" s="7">
        <v>1.0860466497055279</v>
      </c>
      <c r="AJ73" s="6">
        <v>22.606892014242863</v>
      </c>
      <c r="AK73" s="6">
        <v>20.596609115876014</v>
      </c>
      <c r="AL73" s="6">
        <v>18.342014628094269</v>
      </c>
      <c r="AM73" s="6">
        <v>4.5312643123277114</v>
      </c>
      <c r="AN73" s="6">
        <v>13.41947728208469</v>
      </c>
      <c r="AO73" s="6" t="s">
        <v>294</v>
      </c>
      <c r="AP73" s="6" t="s">
        <v>297</v>
      </c>
      <c r="AQ73" s="6"/>
      <c r="AR73" s="6"/>
      <c r="AS73" s="119" t="s">
        <v>396</v>
      </c>
    </row>
    <row r="74" spans="1:45" s="122" customFormat="1" ht="12.75" x14ac:dyDescent="0.2">
      <c r="A74" s="119" t="s">
        <v>116</v>
      </c>
      <c r="B74" s="119" t="s">
        <v>249</v>
      </c>
      <c r="C74" s="119">
        <v>30.465</v>
      </c>
      <c r="D74" s="125">
        <v>168.26399999999998</v>
      </c>
      <c r="E74" s="124">
        <v>5126.1627599999993</v>
      </c>
      <c r="F74" s="125">
        <v>136.98300000000017</v>
      </c>
      <c r="G74" s="124">
        <v>4989.1797599999991</v>
      </c>
      <c r="H74" s="120">
        <v>1125.704</v>
      </c>
      <c r="I74" s="121">
        <v>1217.4444444444443</v>
      </c>
      <c r="J74" s="121">
        <v>1090.1300000000001</v>
      </c>
      <c r="K74" s="121">
        <v>1167.4184396135265</v>
      </c>
      <c r="L74" s="121">
        <v>1251.5211352657004</v>
      </c>
      <c r="M74" s="121">
        <v>340.899</v>
      </c>
      <c r="N74" s="121">
        <v>340.70233333333334</v>
      </c>
      <c r="O74" s="121">
        <v>353.25833333333333</v>
      </c>
      <c r="P74" s="121">
        <v>376.09333333333331</v>
      </c>
      <c r="Q74" s="3" t="s">
        <v>404</v>
      </c>
      <c r="R74" s="3">
        <v>6.2875314414339425E-2</v>
      </c>
      <c r="S74" s="80">
        <v>8.1496063303003519E-2</v>
      </c>
      <c r="T74" s="80">
        <v>7.0898369564663222E-2</v>
      </c>
      <c r="U74" s="80">
        <v>7.2041602906337543E-2</v>
      </c>
      <c r="V74" s="3">
        <v>0.81041416666666677</v>
      </c>
      <c r="W74" s="3">
        <v>0.81342333333333328</v>
      </c>
      <c r="X74" s="4">
        <v>0.27797373731230091</v>
      </c>
      <c r="Y74" s="4">
        <v>0.28966084267502495</v>
      </c>
      <c r="Z74" s="3">
        <v>0.29711185178341731</v>
      </c>
      <c r="AA74" s="4">
        <v>0.28001195582732502</v>
      </c>
      <c r="AB74" s="4">
        <v>0.29184251487934587</v>
      </c>
      <c r="AC74" s="4">
        <v>0.28226317828690595</v>
      </c>
      <c r="AD74" s="5">
        <v>0.35998716619775672</v>
      </c>
      <c r="AE74" s="5">
        <v>0.36150801913032854</v>
      </c>
      <c r="AF74" s="6">
        <v>4.0980759185908546</v>
      </c>
      <c r="AG74" s="6">
        <v>4.2736859301722747</v>
      </c>
      <c r="AH74" s="6">
        <v>3.9864926124006579</v>
      </c>
      <c r="AI74" s="7">
        <v>0.50285569050791457</v>
      </c>
      <c r="AJ74" s="6">
        <v>14.635360502670876</v>
      </c>
      <c r="AK74" s="6">
        <v>14.643808603208859</v>
      </c>
      <c r="AL74" s="6">
        <v>14.123317949564763</v>
      </c>
      <c r="AM74" s="6">
        <v>1.7958364992743761</v>
      </c>
      <c r="AN74" s="6">
        <v>13.265802176764632</v>
      </c>
      <c r="AO74" s="6" t="s">
        <v>295</v>
      </c>
      <c r="AP74" s="6" t="s">
        <v>298</v>
      </c>
      <c r="AQ74" s="6"/>
      <c r="AR74" s="6" t="s">
        <v>341</v>
      </c>
      <c r="AS74" s="119" t="s">
        <v>396</v>
      </c>
    </row>
    <row r="75" spans="1:45" s="122" customFormat="1" ht="12.75" x14ac:dyDescent="0.2">
      <c r="A75" s="119" t="s">
        <v>113</v>
      </c>
      <c r="B75" s="119" t="s">
        <v>246</v>
      </c>
      <c r="C75" s="119">
        <v>24.79</v>
      </c>
      <c r="D75" s="125">
        <v>317.6083694167105</v>
      </c>
      <c r="E75" s="124">
        <v>7873.5114778402531</v>
      </c>
      <c r="F75" s="125">
        <v>-553.28800000000047</v>
      </c>
      <c r="G75" s="124">
        <v>8426.7994778402535</v>
      </c>
      <c r="H75" s="120">
        <v>1678.7070000000001</v>
      </c>
      <c r="I75" s="121">
        <v>1778.547619047619</v>
      </c>
      <c r="J75" s="121">
        <v>1640.018</v>
      </c>
      <c r="K75" s="121">
        <v>1704.8571428571429</v>
      </c>
      <c r="L75" s="121">
        <v>1804.8571428571429</v>
      </c>
      <c r="M75" s="121">
        <v>484.36599999999999</v>
      </c>
      <c r="N75" s="121">
        <v>489.62100000000004</v>
      </c>
      <c r="O75" s="121">
        <v>523.16999999999996</v>
      </c>
      <c r="P75" s="121">
        <v>619.70000000000005</v>
      </c>
      <c r="Q75" s="3" t="s">
        <v>404</v>
      </c>
      <c r="R75" s="3">
        <v>1.3166828717157636E-2</v>
      </c>
      <c r="S75" s="80">
        <v>5.9474714198260337E-2</v>
      </c>
      <c r="T75" s="80">
        <v>3.9535628790136945E-2</v>
      </c>
      <c r="U75" s="80">
        <v>5.8655941008882273E-2</v>
      </c>
      <c r="V75" s="3">
        <v>0.81207000000000007</v>
      </c>
      <c r="W75" s="3">
        <v>0.81345000000000001</v>
      </c>
      <c r="X75" s="4">
        <v>0.33056787330316745</v>
      </c>
      <c r="Y75" s="4">
        <v>0.33718513534905808</v>
      </c>
      <c r="Z75" s="3">
        <v>0.27772386723829706</v>
      </c>
      <c r="AA75" s="4">
        <v>0.27233794294434999</v>
      </c>
      <c r="AB75" s="4">
        <v>0.28719180492709906</v>
      </c>
      <c r="AC75" s="4">
        <v>0.2898678170017413</v>
      </c>
      <c r="AD75" s="5">
        <v>0.29089069595545469</v>
      </c>
      <c r="AE75" s="5">
        <v>0.33181265714261032</v>
      </c>
      <c r="AF75" s="6">
        <v>4.738022973122674</v>
      </c>
      <c r="AG75" s="6">
        <v>4.9428185306587711</v>
      </c>
      <c r="AH75" s="6">
        <v>4.6689564939751289</v>
      </c>
      <c r="AI75" s="7">
        <v>0.79664493339612608</v>
      </c>
      <c r="AJ75" s="6">
        <v>17.397586696506885</v>
      </c>
      <c r="AK75" s="6">
        <v>17.210862029692869</v>
      </c>
      <c r="AL75" s="6">
        <v>16.107191692643411</v>
      </c>
      <c r="AM75" s="6">
        <v>2.9252072802757194</v>
      </c>
      <c r="AN75" s="6">
        <v>13.598191831273605</v>
      </c>
      <c r="AO75" s="6" t="s">
        <v>295</v>
      </c>
      <c r="AP75" s="6" t="s">
        <v>298</v>
      </c>
      <c r="AQ75" s="6"/>
      <c r="AR75" s="6" t="s">
        <v>342</v>
      </c>
      <c r="AS75" s="119" t="s">
        <v>397</v>
      </c>
    </row>
    <row r="76" spans="1:45" s="122" customFormat="1" ht="12.75" x14ac:dyDescent="0.2">
      <c r="A76" s="119" t="s">
        <v>45</v>
      </c>
      <c r="B76" s="119" t="s">
        <v>178</v>
      </c>
      <c r="C76" s="119">
        <v>11.63</v>
      </c>
      <c r="D76" s="125">
        <v>320</v>
      </c>
      <c r="E76" s="124">
        <v>3721.6000000000004</v>
      </c>
      <c r="F76" s="125">
        <v>926.2</v>
      </c>
      <c r="G76" s="124">
        <v>2795.4000000000005</v>
      </c>
      <c r="H76" s="120">
        <v>810.64</v>
      </c>
      <c r="I76" s="121">
        <v>914.60439560439568</v>
      </c>
      <c r="J76" s="121">
        <v>720.42</v>
      </c>
      <c r="K76" s="121">
        <v>835</v>
      </c>
      <c r="L76" s="121">
        <v>946.33333333333337</v>
      </c>
      <c r="M76" s="121">
        <v>223.548</v>
      </c>
      <c r="N76" s="121">
        <v>220.62700000000001</v>
      </c>
      <c r="O76" s="121">
        <v>245.23600000000002</v>
      </c>
      <c r="P76" s="121">
        <v>181.47666666666666</v>
      </c>
      <c r="Q76" s="3" t="s">
        <v>404</v>
      </c>
      <c r="R76" s="3">
        <v>0.18175986938013872</v>
      </c>
      <c r="S76" s="80">
        <v>0.12824977253083447</v>
      </c>
      <c r="T76" s="80">
        <v>0.159046111990228</v>
      </c>
      <c r="U76" s="80">
        <v>0.1333333333333333</v>
      </c>
      <c r="V76" s="3">
        <v>0.86002999999999996</v>
      </c>
      <c r="W76" s="3">
        <v>0.85784000000000005</v>
      </c>
      <c r="X76" s="4">
        <v>0.20128982035928145</v>
      </c>
      <c r="Y76" s="4">
        <v>0.19881261007396969</v>
      </c>
      <c r="Z76" s="3">
        <v>0.26258635152472121</v>
      </c>
      <c r="AA76" s="4">
        <v>0.24442043037883429</v>
      </c>
      <c r="AB76" s="4">
        <v>0.2642239520958084</v>
      </c>
      <c r="AC76" s="4">
        <v>0.25914336033814722</v>
      </c>
      <c r="AD76" s="5">
        <v>0.44434622090485992</v>
      </c>
      <c r="AE76" s="5">
        <v>0.37267020290966879</v>
      </c>
      <c r="AF76" s="6">
        <v>3.0564034170781822</v>
      </c>
      <c r="AG76" s="6">
        <v>3.3477844311377254</v>
      </c>
      <c r="AH76" s="6">
        <v>2.9539274392391692</v>
      </c>
      <c r="AI76" s="7">
        <v>0.23831647859986232</v>
      </c>
      <c r="AJ76" s="6">
        <v>12.504696977830267</v>
      </c>
      <c r="AK76" s="6">
        <v>12.670253414133358</v>
      </c>
      <c r="AL76" s="6">
        <v>11.398815834543054</v>
      </c>
      <c r="AM76" s="6">
        <v>0.97502683482918651</v>
      </c>
      <c r="AN76" s="6">
        <v>15.40363315761439</v>
      </c>
      <c r="AO76" s="6" t="s">
        <v>293</v>
      </c>
      <c r="AP76" s="6" t="s">
        <v>297</v>
      </c>
      <c r="AQ76" s="6"/>
      <c r="AR76" s="6" t="s">
        <v>363</v>
      </c>
      <c r="AS76" s="119" t="s">
        <v>396</v>
      </c>
    </row>
    <row r="77" spans="1:45" s="122" customFormat="1" ht="12.75" x14ac:dyDescent="0.2">
      <c r="A77" s="119" t="s">
        <v>101</v>
      </c>
      <c r="B77" s="119" t="s">
        <v>234</v>
      </c>
      <c r="C77" s="119">
        <v>82.62</v>
      </c>
      <c r="D77" s="125">
        <v>353.4</v>
      </c>
      <c r="E77" s="124">
        <v>29197.907999999999</v>
      </c>
      <c r="F77" s="125">
        <v>1479.0839999999989</v>
      </c>
      <c r="G77" s="124">
        <v>27718.824000000001</v>
      </c>
      <c r="H77" s="120">
        <v>3350.4009999999998</v>
      </c>
      <c r="I77" s="121">
        <v>3881.7222222222222</v>
      </c>
      <c r="J77" s="121">
        <v>3168.1640000000002</v>
      </c>
      <c r="K77" s="121">
        <v>3565.5163943833941</v>
      </c>
      <c r="L77" s="121">
        <v>4116.0874542124548</v>
      </c>
      <c r="M77" s="121">
        <v>718.31799999999998</v>
      </c>
      <c r="N77" s="121">
        <v>651.28166666666675</v>
      </c>
      <c r="O77" s="121">
        <v>794.58100000000002</v>
      </c>
      <c r="P77" s="121">
        <v>889.78181818181827</v>
      </c>
      <c r="Q77" s="3" t="s">
        <v>404</v>
      </c>
      <c r="R77" s="3">
        <v>0.11312960294601843</v>
      </c>
      <c r="S77" s="80">
        <v>0.15858436713164248</v>
      </c>
      <c r="T77" s="80">
        <v>0.12542039944377681</v>
      </c>
      <c r="U77" s="80">
        <v>0.15441551767826733</v>
      </c>
      <c r="V77" s="3">
        <v>0.71751416666666656</v>
      </c>
      <c r="W77" s="3">
        <v>0.72443666666666662</v>
      </c>
      <c r="X77" s="4">
        <v>0.16731947559492388</v>
      </c>
      <c r="Y77" s="4">
        <v>0.19634179520965209</v>
      </c>
      <c r="Z77" s="3">
        <v>0.16396455230284379</v>
      </c>
      <c r="AA77" s="4">
        <v>0.18505136608893533</v>
      </c>
      <c r="AB77" s="4">
        <v>0.18266124584158497</v>
      </c>
      <c r="AC77" s="4">
        <v>0.19304278853133114</v>
      </c>
      <c r="AD77" s="5">
        <v>0.27709415524886222</v>
      </c>
      <c r="AE77" s="5">
        <v>0.34363573322057783</v>
      </c>
      <c r="AF77" s="6">
        <v>7.1408571796596592</v>
      </c>
      <c r="AG77" s="6">
        <v>7.7741401059505106</v>
      </c>
      <c r="AH77" s="6">
        <v>6.7342650777821094</v>
      </c>
      <c r="AI77" s="7">
        <v>0.45028758564404786</v>
      </c>
      <c r="AJ77" s="6">
        <v>38.588513722334675</v>
      </c>
      <c r="AK77" s="6">
        <v>42.560424189226879</v>
      </c>
      <c r="AL77" s="6">
        <v>34.884831124831827</v>
      </c>
      <c r="AM77" s="6">
        <v>2.433311329502104</v>
      </c>
      <c r="AN77" s="6">
        <v>31.152383015243775</v>
      </c>
      <c r="AO77" s="6" t="s">
        <v>295</v>
      </c>
      <c r="AP77" s="6" t="s">
        <v>298</v>
      </c>
      <c r="AQ77" s="6"/>
      <c r="AR77" s="6"/>
      <c r="AS77" s="119" t="s">
        <v>397</v>
      </c>
    </row>
    <row r="78" spans="1:45" s="122" customFormat="1" ht="12.75" x14ac:dyDescent="0.2">
      <c r="A78" s="119" t="s">
        <v>89</v>
      </c>
      <c r="B78" s="119" t="s">
        <v>222</v>
      </c>
      <c r="C78" s="119">
        <v>293.14499999999998</v>
      </c>
      <c r="D78" s="129"/>
      <c r="E78" s="120">
        <v>274012.95196287002</v>
      </c>
      <c r="F78" s="129"/>
      <c r="G78" s="120">
        <v>325811.95196287002</v>
      </c>
      <c r="H78" s="120">
        <v>65402</v>
      </c>
      <c r="I78" s="121">
        <v>69453.917082917091</v>
      </c>
      <c r="J78" s="121">
        <v>62753</v>
      </c>
      <c r="K78" s="121">
        <v>67057.444444444438</v>
      </c>
      <c r="L78" s="121">
        <v>70110.5</v>
      </c>
      <c r="M78" s="121">
        <v>14894.124</v>
      </c>
      <c r="N78" s="121">
        <v>14020.239</v>
      </c>
      <c r="O78" s="121">
        <v>14814.532000000001</v>
      </c>
      <c r="P78" s="121">
        <v>19358.474999999999</v>
      </c>
      <c r="Q78" s="3" t="s">
        <v>404</v>
      </c>
      <c r="R78" s="3">
        <v>4.5060880125275642E-2</v>
      </c>
      <c r="S78" s="80">
        <v>6.1954024080564718E-2</v>
      </c>
      <c r="T78" s="80">
        <v>6.8593444846372975E-2</v>
      </c>
      <c r="U78" s="80">
        <v>4.5528957759267907E-2</v>
      </c>
      <c r="V78" s="3">
        <v>0.59292</v>
      </c>
      <c r="W78" s="3">
        <v>0.59807999999999995</v>
      </c>
      <c r="X78" s="4">
        <v>0.19754297393445425</v>
      </c>
      <c r="Y78" s="4">
        <v>0.19927590018613475</v>
      </c>
      <c r="Z78" s="3">
        <v>0.19068224213326807</v>
      </c>
      <c r="AA78" s="4">
        <v>0.2144461338619498</v>
      </c>
      <c r="AB78" s="4">
        <v>0.20907803922673265</v>
      </c>
      <c r="AC78" s="4">
        <v>0.2113026151575014</v>
      </c>
      <c r="AD78" s="5">
        <v>0.23574312225854371</v>
      </c>
      <c r="AE78" s="5">
        <v>0.27640015794251449</v>
      </c>
      <c r="AF78" s="6">
        <v>4.6910522206242398</v>
      </c>
      <c r="AG78" s="6">
        <v>4.8586992042739983</v>
      </c>
      <c r="AH78" s="6">
        <v>4.6471206447375222</v>
      </c>
      <c r="AI78" s="7">
        <v>0.75718281261666198</v>
      </c>
      <c r="AJ78" s="6">
        <v>21.875200714246102</v>
      </c>
      <c r="AK78" s="6">
        <v>23.238687440554333</v>
      </c>
      <c r="AL78" s="6">
        <v>21.992726598644492</v>
      </c>
      <c r="AM78" s="6">
        <v>3.530876490895845</v>
      </c>
      <c r="AN78" s="6">
        <v>16.830455496255261</v>
      </c>
      <c r="AO78" s="6" t="s">
        <v>295</v>
      </c>
      <c r="AP78" s="6" t="s">
        <v>298</v>
      </c>
      <c r="AQ78" s="6"/>
      <c r="AR78" s="6"/>
      <c r="AS78" s="119" t="s">
        <v>397</v>
      </c>
    </row>
    <row r="79" spans="1:45" s="122" customFormat="1" ht="12.75" x14ac:dyDescent="0.2">
      <c r="A79" s="119" t="s">
        <v>117</v>
      </c>
      <c r="B79" s="119" t="s">
        <v>250</v>
      </c>
      <c r="C79" s="119">
        <v>16.18</v>
      </c>
      <c r="D79" s="129"/>
      <c r="E79" s="120">
        <v>5483.4991770799998</v>
      </c>
      <c r="F79" s="129"/>
      <c r="G79" s="120">
        <v>4672.6761770799994</v>
      </c>
      <c r="H79" s="120">
        <v>907.38099999999997</v>
      </c>
      <c r="I79" s="121">
        <v>1102.1212121212122</v>
      </c>
      <c r="J79" s="121">
        <v>821.46100000000001</v>
      </c>
      <c r="K79" s="121">
        <v>984.71182971014503</v>
      </c>
      <c r="L79" s="121">
        <v>1189.2643280632412</v>
      </c>
      <c r="M79" s="121">
        <v>90.912000000000006</v>
      </c>
      <c r="N79" s="121">
        <v>65.138333333333335</v>
      </c>
      <c r="O79" s="121">
        <v>118.56500000000001</v>
      </c>
      <c r="P79" s="121">
        <v>97.129545454545436</v>
      </c>
      <c r="Q79" s="3" t="s">
        <v>404</v>
      </c>
      <c r="R79" s="3">
        <v>0.2539260286996704</v>
      </c>
      <c r="S79" s="80">
        <v>0.21461790815678561</v>
      </c>
      <c r="T79" s="80">
        <v>0.19873229491131661</v>
      </c>
      <c r="U79" s="80">
        <v>0.20772828372876084</v>
      </c>
      <c r="V79" s="3">
        <v>0.78904666666666667</v>
      </c>
      <c r="W79" s="3">
        <v>0.79066500000000006</v>
      </c>
      <c r="X79" s="4">
        <v>2.5582780572547769E-2</v>
      </c>
      <c r="Y79" s="4">
        <v>7.4199652606840416E-2</v>
      </c>
      <c r="Z79" s="3">
        <v>-1.1529886563637549E-2</v>
      </c>
      <c r="AA79" s="4">
        <v>8.2488204564201265E-2</v>
      </c>
      <c r="AB79" s="4">
        <v>6.6149640298834578E-2</v>
      </c>
      <c r="AC79" s="4">
        <v>9.9696087070136274E-2</v>
      </c>
      <c r="AD79" s="5">
        <v>0.24239614213603286</v>
      </c>
      <c r="AE79" s="5">
        <v>0.29710611272098686</v>
      </c>
      <c r="AF79" s="6">
        <v>4.2397116811558968</v>
      </c>
      <c r="AG79" s="6">
        <v>4.7452219381333371</v>
      </c>
      <c r="AH79" s="6">
        <v>3.9290476194553121</v>
      </c>
      <c r="AI79" s="7">
        <v>0.19754696695946941</v>
      </c>
      <c r="AJ79" s="6">
        <v>51.397793218497</v>
      </c>
      <c r="AK79" s="6">
        <v>71.73465973052221</v>
      </c>
      <c r="AL79" s="6">
        <v>39.410249037068269</v>
      </c>
      <c r="AM79" s="6">
        <v>2.3948510942036196</v>
      </c>
      <c r="AN79" s="6">
        <v>48.10767058790276</v>
      </c>
      <c r="AO79" s="6" t="s">
        <v>295</v>
      </c>
      <c r="AP79" s="6" t="s">
        <v>298</v>
      </c>
      <c r="AQ79" s="6"/>
      <c r="AR79" s="6" t="s">
        <v>339</v>
      </c>
      <c r="AS79" s="119" t="s">
        <v>397</v>
      </c>
    </row>
    <row r="80" spans="1:45" s="122" customFormat="1" ht="12.75" x14ac:dyDescent="0.2">
      <c r="A80" s="119" t="s">
        <v>27</v>
      </c>
      <c r="B80" s="119" t="s">
        <v>160</v>
      </c>
      <c r="C80" s="119">
        <v>64.459999999999994</v>
      </c>
      <c r="D80" s="129"/>
      <c r="E80" s="120">
        <v>12963.171381819997</v>
      </c>
      <c r="F80" s="129"/>
      <c r="G80" s="120">
        <v>12245.658381819998</v>
      </c>
      <c r="H80" s="120">
        <v>3095.3620000000001</v>
      </c>
      <c r="I80" s="121">
        <v>3296.3161764705883</v>
      </c>
      <c r="J80" s="121">
        <v>2976.739</v>
      </c>
      <c r="K80" s="121">
        <v>3180.7991457800513</v>
      </c>
      <c r="L80" s="121">
        <v>3388.2477408354648</v>
      </c>
      <c r="M80" s="121">
        <v>937.65899999999999</v>
      </c>
      <c r="N80" s="121">
        <v>906.82633333333331</v>
      </c>
      <c r="O80" s="121">
        <v>963.654</v>
      </c>
      <c r="P80" s="121">
        <v>1081.2083333333333</v>
      </c>
      <c r="Q80" s="3" t="s">
        <v>404</v>
      </c>
      <c r="R80" s="3">
        <v>8.2872189846750363E-2</v>
      </c>
      <c r="S80" s="80">
        <v>6.4921058173676771E-2</v>
      </c>
      <c r="T80" s="80">
        <v>6.8551574652682357E-2</v>
      </c>
      <c r="U80" s="80">
        <v>6.5219017469441365E-2</v>
      </c>
      <c r="V80" s="3">
        <v>0.81678416666666676</v>
      </c>
      <c r="W80" s="3">
        <v>0.81743750000000004</v>
      </c>
      <c r="X80" s="4">
        <v>0.2918240429918843</v>
      </c>
      <c r="Y80" s="4">
        <v>0.2971239837434172</v>
      </c>
      <c r="Z80" s="3">
        <v>0.30230583692634327</v>
      </c>
      <c r="AA80" s="4">
        <v>0.28445663273841787</v>
      </c>
      <c r="AB80" s="4">
        <v>0.28509386848157792</v>
      </c>
      <c r="AC80" s="4">
        <v>0.28441072604755424</v>
      </c>
      <c r="AD80" s="5">
        <v>0.38517802677309365</v>
      </c>
      <c r="AE80" s="5">
        <v>0.34937769091209464</v>
      </c>
      <c r="AF80" s="6">
        <v>3.7149526095920797</v>
      </c>
      <c r="AG80" s="6">
        <v>3.8498684829145047</v>
      </c>
      <c r="AH80" s="6">
        <v>3.6141567318806791</v>
      </c>
      <c r="AI80" s="7">
        <v>0.57222613341480677</v>
      </c>
      <c r="AJ80" s="6">
        <v>13.059820661690441</v>
      </c>
      <c r="AK80" s="6">
        <v>13.503862792346492</v>
      </c>
      <c r="AL80" s="6">
        <v>12.707526126410514</v>
      </c>
      <c r="AM80" s="6">
        <v>2.0116463023065365</v>
      </c>
      <c r="AN80" s="6">
        <v>11.325900850270916</v>
      </c>
      <c r="AO80" s="6" t="s">
        <v>293</v>
      </c>
      <c r="AP80" s="6" t="s">
        <v>297</v>
      </c>
      <c r="AQ80" s="6"/>
      <c r="AR80" s="6" t="s">
        <v>341</v>
      </c>
      <c r="AS80" s="119" t="s">
        <v>396</v>
      </c>
    </row>
    <row r="81" spans="1:45" s="122" customFormat="1" ht="12.75" x14ac:dyDescent="0.2">
      <c r="A81" s="119" t="s">
        <v>124</v>
      </c>
      <c r="B81" s="119" t="s">
        <v>257</v>
      </c>
      <c r="C81" s="119">
        <v>39.69</v>
      </c>
      <c r="D81" s="125">
        <v>44.155999999999999</v>
      </c>
      <c r="E81" s="124">
        <v>1752.5516399999999</v>
      </c>
      <c r="F81" s="125">
        <v>-1356</v>
      </c>
      <c r="G81" s="124">
        <v>3108.5516399999997</v>
      </c>
      <c r="H81" s="120">
        <v>940.12599999999998</v>
      </c>
      <c r="I81" s="121">
        <v>989</v>
      </c>
      <c r="J81" s="121">
        <v>753.40899999999999</v>
      </c>
      <c r="K81" s="121">
        <v>979.88761111111114</v>
      </c>
      <c r="L81" s="121">
        <v>993.93554033485543</v>
      </c>
      <c r="M81" s="121">
        <v>270.97399999999999</v>
      </c>
      <c r="N81" s="121">
        <v>224.64666666666665</v>
      </c>
      <c r="O81" s="121" t="s">
        <v>402</v>
      </c>
      <c r="P81" s="121">
        <v>379.7</v>
      </c>
      <c r="Q81" s="3" t="s">
        <v>404</v>
      </c>
      <c r="R81" s="3">
        <v>0.31409329930194629</v>
      </c>
      <c r="S81" s="80">
        <v>5.1986648598166596E-2</v>
      </c>
      <c r="T81" s="80">
        <v>0.3006051309595601</v>
      </c>
      <c r="U81" s="80">
        <v>1.433626577625069E-2</v>
      </c>
      <c r="V81" s="3">
        <v>0.85267916666666665</v>
      </c>
      <c r="W81" s="3" t="e">
        <v>#VALUE!</v>
      </c>
      <c r="X81" s="4">
        <v>0.38577281283448778</v>
      </c>
      <c r="Y81" s="4">
        <v>0.38739936784057166</v>
      </c>
      <c r="Z81" s="3">
        <v>0.19818832794753041</v>
      </c>
      <c r="AA81" s="4">
        <v>0.27398786653185037</v>
      </c>
      <c r="AB81" s="4">
        <v>0.22925758435902255</v>
      </c>
      <c r="AC81" s="4" t="e">
        <v>#VALUE!</v>
      </c>
      <c r="AD81" s="5">
        <v>0.51228162724947668</v>
      </c>
      <c r="AE81" s="5">
        <v>0.32597451513001696</v>
      </c>
      <c r="AF81" s="6">
        <v>3.1431260262891807</v>
      </c>
      <c r="AG81" s="6">
        <v>3.1723552831484017</v>
      </c>
      <c r="AH81" s="6">
        <v>3.1275183488787746</v>
      </c>
      <c r="AI81" s="7">
        <v>0.60460254912451283</v>
      </c>
      <c r="AJ81" s="6">
        <v>11.471770871006074</v>
      </c>
      <c r="AK81" s="6">
        <v>13.837515090364127</v>
      </c>
      <c r="AL81" s="6" t="e">
        <v>#VALUE!</v>
      </c>
      <c r="AM81" s="6">
        <v>2.2066763640945006</v>
      </c>
      <c r="AN81" s="6">
        <v>8.1868623650250196</v>
      </c>
      <c r="AO81" s="6" t="s">
        <v>295</v>
      </c>
      <c r="AP81" s="6" t="s">
        <v>298</v>
      </c>
      <c r="AQ81" s="6"/>
      <c r="AR81" s="6"/>
      <c r="AS81" s="119" t="s">
        <v>397</v>
      </c>
    </row>
    <row r="82" spans="1:45" s="122" customFormat="1" ht="12.75" x14ac:dyDescent="0.2">
      <c r="A82" s="119" t="s">
        <v>125</v>
      </c>
      <c r="B82" s="119" t="s">
        <v>258</v>
      </c>
      <c r="C82" s="119">
        <v>43.42</v>
      </c>
      <c r="D82" s="125">
        <v>98.501659883047338</v>
      </c>
      <c r="E82" s="124">
        <v>4276.9420721219158</v>
      </c>
      <c r="F82" s="125">
        <v>-1126.8430000000003</v>
      </c>
      <c r="G82" s="124">
        <v>5403.7850721219165</v>
      </c>
      <c r="H82" s="120">
        <v>863.96199999999999</v>
      </c>
      <c r="I82" s="121">
        <v>1016.9230769230769</v>
      </c>
      <c r="J82" s="121">
        <v>780.61500000000001</v>
      </c>
      <c r="K82" s="121">
        <v>896.92857142857144</v>
      </c>
      <c r="L82" s="121">
        <v>1063.9285714285716</v>
      </c>
      <c r="M82" s="121">
        <v>161.40899999999999</v>
      </c>
      <c r="N82" s="121">
        <v>165.518</v>
      </c>
      <c r="O82" s="121">
        <v>185.511</v>
      </c>
      <c r="P82" s="121">
        <v>399.63846153846151</v>
      </c>
      <c r="Q82" s="3" t="s">
        <v>404</v>
      </c>
      <c r="R82" s="3">
        <v>0.14195494366636519</v>
      </c>
      <c r="S82" s="80">
        <v>0.17704607022424246</v>
      </c>
      <c r="T82" s="80">
        <v>0.14900248064483956</v>
      </c>
      <c r="U82" s="80">
        <v>0.18619096918053679</v>
      </c>
      <c r="V82" s="3">
        <v>0.61704000000000003</v>
      </c>
      <c r="W82" s="3">
        <v>0.60697999999999996</v>
      </c>
      <c r="X82" s="4">
        <v>0.28142374771044038</v>
      </c>
      <c r="Y82" s="4">
        <v>0.26427244041624703</v>
      </c>
      <c r="Z82" s="3">
        <v>0.2030772186739695</v>
      </c>
      <c r="AA82" s="4">
        <v>0.15872291981845688</v>
      </c>
      <c r="AB82" s="4">
        <v>0.18453866369355737</v>
      </c>
      <c r="AC82" s="4">
        <v>0.17436414904330311</v>
      </c>
      <c r="AD82" s="5">
        <v>0.34503216234033468</v>
      </c>
      <c r="AE82" s="5">
        <v>0.33576899004269933</v>
      </c>
      <c r="AF82" s="6">
        <v>5.3138582403619452</v>
      </c>
      <c r="AG82" s="6">
        <v>6.0247663462377021</v>
      </c>
      <c r="AH82" s="6">
        <v>5.0790863383488967</v>
      </c>
      <c r="AI82" s="7">
        <v>0.30013985815282629</v>
      </c>
      <c r="AJ82" s="6">
        <v>33.478833721303751</v>
      </c>
      <c r="AK82" s="6">
        <v>32.647718508693416</v>
      </c>
      <c r="AL82" s="6">
        <v>29.129189493463549</v>
      </c>
      <c r="AM82" s="6">
        <v>1.890967344200311</v>
      </c>
      <c r="AN82" s="6">
        <v>13.521684202564803</v>
      </c>
      <c r="AO82" s="6" t="s">
        <v>295</v>
      </c>
      <c r="AP82" s="6" t="s">
        <v>298</v>
      </c>
      <c r="AQ82" s="6"/>
      <c r="AR82" s="6" t="s">
        <v>405</v>
      </c>
      <c r="AS82" s="119" t="s">
        <v>396</v>
      </c>
    </row>
    <row r="83" spans="1:45" s="122" customFormat="1" ht="12.75" x14ac:dyDescent="0.2">
      <c r="A83" s="119" t="s">
        <v>24</v>
      </c>
      <c r="B83" s="119" t="s">
        <v>157</v>
      </c>
      <c r="C83" s="119">
        <v>81.045000000000002</v>
      </c>
      <c r="D83" s="129"/>
      <c r="E83" s="120">
        <v>19777.200876135001</v>
      </c>
      <c r="F83" s="129"/>
      <c r="G83" s="120">
        <v>26248.000876135</v>
      </c>
      <c r="H83" s="120">
        <v>6148.4</v>
      </c>
      <c r="I83" s="121">
        <v>6554.9821428571422</v>
      </c>
      <c r="J83" s="121">
        <v>5882</v>
      </c>
      <c r="K83" s="121">
        <v>6244.5</v>
      </c>
      <c r="L83" s="121">
        <v>6610.1</v>
      </c>
      <c r="M83" s="121">
        <v>1339.3389999999999</v>
      </c>
      <c r="N83" s="121">
        <v>1281.883</v>
      </c>
      <c r="O83" s="121">
        <v>1482.9159999999999</v>
      </c>
      <c r="P83" s="121">
        <v>2625.2142857142858</v>
      </c>
      <c r="Q83" s="3" t="s">
        <v>404</v>
      </c>
      <c r="R83" s="3">
        <v>6.670830514061675E-2</v>
      </c>
      <c r="S83" s="80">
        <v>6.61281216019034E-2</v>
      </c>
      <c r="T83" s="80">
        <v>6.1628697721863412E-2</v>
      </c>
      <c r="U83" s="80">
        <v>5.8547521819200865E-2</v>
      </c>
      <c r="V83" s="3">
        <v>0.55155999999999994</v>
      </c>
      <c r="W83" s="3">
        <v>0.55579999999999996</v>
      </c>
      <c r="X83" s="4">
        <v>0.38203619184882698</v>
      </c>
      <c r="Y83" s="4">
        <v>0.39179104703408424</v>
      </c>
      <c r="Z83" s="3">
        <v>0.21107930518508877</v>
      </c>
      <c r="AA83" s="4">
        <v>0.20432382130277135</v>
      </c>
      <c r="AB83" s="4">
        <v>0.20528192809672513</v>
      </c>
      <c r="AC83" s="4">
        <v>0.2243409328149347</v>
      </c>
      <c r="AD83" s="5">
        <v>0.27778761032570554</v>
      </c>
      <c r="AE83" s="5">
        <v>0.27045194290467478</v>
      </c>
      <c r="AF83" s="6">
        <v>4.0042825905692236</v>
      </c>
      <c r="AG83" s="6">
        <v>4.2033791138017458</v>
      </c>
      <c r="AH83" s="6">
        <v>3.9708931598818471</v>
      </c>
      <c r="AI83" s="7">
        <v>0.60553399878425795</v>
      </c>
      <c r="AJ83" s="6">
        <v>19.597727592592317</v>
      </c>
      <c r="AK83" s="6">
        <v>20.476128379996457</v>
      </c>
      <c r="AL83" s="6">
        <v>17.700261428250151</v>
      </c>
      <c r="AM83" s="6">
        <v>2.9635996181128825</v>
      </c>
      <c r="AN83" s="6">
        <v>9.998422231270645</v>
      </c>
      <c r="AO83" s="6" t="s">
        <v>294</v>
      </c>
      <c r="AP83" s="6" t="s">
        <v>297</v>
      </c>
      <c r="AQ83" s="6"/>
      <c r="AR83" s="6"/>
      <c r="AS83" s="119" t="s">
        <v>397</v>
      </c>
    </row>
    <row r="84" spans="1:45" s="122" customFormat="1" ht="12.75" x14ac:dyDescent="0.2">
      <c r="A84" s="119" t="s">
        <v>36</v>
      </c>
      <c r="B84" s="119" t="s">
        <v>169</v>
      </c>
      <c r="C84" s="119">
        <v>124.61</v>
      </c>
      <c r="D84" s="129"/>
      <c r="E84" s="120">
        <v>6936.8111621400003</v>
      </c>
      <c r="F84" s="129"/>
      <c r="G84" s="120">
        <v>6821.8521621400005</v>
      </c>
      <c r="H84" s="120">
        <v>1868.7090000000001</v>
      </c>
      <c r="I84" s="121">
        <v>2127.434126984127</v>
      </c>
      <c r="J84" s="121">
        <v>1760.65</v>
      </c>
      <c r="K84" s="121">
        <v>1991.6521739130435</v>
      </c>
      <c r="L84" s="121">
        <v>2265.7916666666665</v>
      </c>
      <c r="M84" s="121">
        <v>621.96600000000001</v>
      </c>
      <c r="N84" s="121">
        <v>599.11300000000006</v>
      </c>
      <c r="O84" s="121">
        <v>666.57</v>
      </c>
      <c r="P84" s="121">
        <v>468.34722222222223</v>
      </c>
      <c r="Q84" s="3" t="s">
        <v>404</v>
      </c>
      <c r="R84" s="3">
        <v>0.13040382691300284</v>
      </c>
      <c r="S84" s="80">
        <v>0.13845126607948433</v>
      </c>
      <c r="T84" s="80">
        <v>0.13120277960585214</v>
      </c>
      <c r="U84" s="80">
        <v>0.13764426155547782</v>
      </c>
      <c r="V84" s="3">
        <v>0.69213999999999998</v>
      </c>
      <c r="W84" s="3">
        <v>0.69196000000000002</v>
      </c>
      <c r="X84" s="4">
        <v>0.20688853475375479</v>
      </c>
      <c r="Y84" s="4">
        <v>0.21811361003328492</v>
      </c>
      <c r="Z84" s="3">
        <v>0.29499242525187175</v>
      </c>
      <c r="AA84" s="4">
        <v>0.2923549980284022</v>
      </c>
      <c r="AB84" s="4">
        <v>0.30081206339504019</v>
      </c>
      <c r="AC84" s="4">
        <v>0.29418856543886429</v>
      </c>
      <c r="AD84" s="5">
        <v>0.42539625216487459</v>
      </c>
      <c r="AE84" s="5">
        <v>0.43080626410788653</v>
      </c>
      <c r="AF84" s="6">
        <v>3.206610289650063</v>
      </c>
      <c r="AG84" s="6">
        <v>3.42522266261832</v>
      </c>
      <c r="AH84" s="6">
        <v>3.0108029182471179</v>
      </c>
      <c r="AI84" s="7">
        <v>0.23160570361336821</v>
      </c>
      <c r="AJ84" s="6">
        <v>10.968207526038402</v>
      </c>
      <c r="AK84" s="6">
        <v>11.386586774348078</v>
      </c>
      <c r="AL84" s="6">
        <v>10.234262211230629</v>
      </c>
      <c r="AM84" s="6">
        <v>0.79220709471458328</v>
      </c>
      <c r="AN84" s="6">
        <v>14.565800411437385</v>
      </c>
      <c r="AO84" s="6" t="s">
        <v>293</v>
      </c>
      <c r="AP84" s="6" t="s">
        <v>297</v>
      </c>
      <c r="AQ84" s="6"/>
      <c r="AR84" s="6" t="s">
        <v>352</v>
      </c>
      <c r="AS84" s="119" t="s">
        <v>396</v>
      </c>
    </row>
    <row r="85" spans="1:45" s="122" customFormat="1" ht="12.75" x14ac:dyDescent="0.2">
      <c r="A85" s="119" t="s">
        <v>50</v>
      </c>
      <c r="B85" s="119" t="s">
        <v>183</v>
      </c>
      <c r="C85" s="119">
        <v>88.9</v>
      </c>
      <c r="D85" s="129"/>
      <c r="E85" s="120">
        <v>5003.1185561000002</v>
      </c>
      <c r="F85" s="129"/>
      <c r="G85" s="120">
        <v>4939.2735561</v>
      </c>
      <c r="H85" s="120">
        <v>845.52200000000005</v>
      </c>
      <c r="I85" s="121">
        <v>984.09090909090901</v>
      </c>
      <c r="J85" s="121">
        <v>738.68</v>
      </c>
      <c r="K85" s="121">
        <v>880.8888888888888</v>
      </c>
      <c r="L85" s="121">
        <v>1020.5454545454545</v>
      </c>
      <c r="M85" s="121">
        <v>125.876</v>
      </c>
      <c r="N85" s="121">
        <v>106.495</v>
      </c>
      <c r="O85" s="121">
        <v>152.94</v>
      </c>
      <c r="P85" s="121">
        <v>129.04285714285714</v>
      </c>
      <c r="Q85" s="3" t="s">
        <v>404</v>
      </c>
      <c r="R85" s="3">
        <v>0.19856714352946508</v>
      </c>
      <c r="S85" s="80">
        <v>0.16388563407091583</v>
      </c>
      <c r="T85" s="80">
        <v>0.19251758391846119</v>
      </c>
      <c r="U85" s="80">
        <v>0.15854050087147975</v>
      </c>
      <c r="V85" s="3">
        <v>0.79992999999999992</v>
      </c>
      <c r="W85" s="3">
        <v>0.81011999999999995</v>
      </c>
      <c r="X85" s="4">
        <v>9.313660443995965E-2</v>
      </c>
      <c r="Y85" s="4">
        <v>0.12561909852128986</v>
      </c>
      <c r="Z85" s="3">
        <v>0.15424790839268523</v>
      </c>
      <c r="AA85" s="4">
        <v>0.1279109468822171</v>
      </c>
      <c r="AB85" s="4">
        <v>0.12089492936427852</v>
      </c>
      <c r="AC85" s="4">
        <v>0.1498610368786745</v>
      </c>
      <c r="AD85" s="5">
        <v>0.35281505192215035</v>
      </c>
      <c r="AE85" s="5">
        <v>0.29179658095313293</v>
      </c>
      <c r="AF85" s="6">
        <v>5.0191232440739038</v>
      </c>
      <c r="AG85" s="6">
        <v>5.6071470742810297</v>
      </c>
      <c r="AH85" s="6">
        <v>4.8398369069214322</v>
      </c>
      <c r="AI85" s="7">
        <v>0.306257670022624</v>
      </c>
      <c r="AJ85" s="6">
        <v>39.239200134259107</v>
      </c>
      <c r="AK85" s="6">
        <v>46.38033293675759</v>
      </c>
      <c r="AL85" s="6">
        <v>32.295498601412319</v>
      </c>
      <c r="AM85" s="6">
        <v>2.3943038300281834</v>
      </c>
      <c r="AN85" s="6">
        <v>38.276225941215543</v>
      </c>
      <c r="AO85" s="6" t="s">
        <v>293</v>
      </c>
      <c r="AP85" s="6" t="s">
        <v>297</v>
      </c>
      <c r="AQ85" s="6"/>
      <c r="AR85" s="6" t="s">
        <v>358</v>
      </c>
      <c r="AS85" s="119" t="s">
        <v>396</v>
      </c>
    </row>
    <row r="86" spans="1:45" s="122" customFormat="1" ht="12.75" x14ac:dyDescent="0.2">
      <c r="A86" s="119" t="s">
        <v>67</v>
      </c>
      <c r="B86" s="119" t="s">
        <v>200</v>
      </c>
      <c r="C86" s="119">
        <v>9.8350000000000009</v>
      </c>
      <c r="D86" s="129"/>
      <c r="E86" s="120">
        <v>1318.0687412899999</v>
      </c>
      <c r="F86" s="129"/>
      <c r="G86" s="120">
        <v>1052.4857412899999</v>
      </c>
      <c r="H86" s="120">
        <v>329.91800000000001</v>
      </c>
      <c r="I86" s="121">
        <v>378.04444444444442</v>
      </c>
      <c r="J86" s="121">
        <v>299.27199999999999</v>
      </c>
      <c r="K86" s="121">
        <v>342.3</v>
      </c>
      <c r="L86" s="121">
        <v>390.6</v>
      </c>
      <c r="M86" s="121">
        <v>31.71</v>
      </c>
      <c r="N86" s="121">
        <v>18.983000000000001</v>
      </c>
      <c r="O86" s="121">
        <v>28.895</v>
      </c>
      <c r="P86" s="121">
        <v>17.939821428571424</v>
      </c>
      <c r="Q86" s="3" t="s">
        <v>404</v>
      </c>
      <c r="R86" s="3">
        <v>0.12775514110697889</v>
      </c>
      <c r="S86" s="80">
        <v>0.14587395790603841</v>
      </c>
      <c r="T86" s="80">
        <v>0.14377556203052744</v>
      </c>
      <c r="U86" s="80">
        <v>0.14110429447852768</v>
      </c>
      <c r="V86" s="3">
        <v>0.75876999999999994</v>
      </c>
      <c r="W86" s="3">
        <v>0.76103999999999994</v>
      </c>
      <c r="X86" s="4">
        <v>4.6654981010809228E-3</v>
      </c>
      <c r="Y86" s="4">
        <v>2.3143881208397339E-2</v>
      </c>
      <c r="Z86" s="3">
        <v>4.1892227765687219E-2</v>
      </c>
      <c r="AA86" s="4">
        <v>8.3879026569480375E-2</v>
      </c>
      <c r="AB86" s="4">
        <v>5.5457201285422142E-2</v>
      </c>
      <c r="AC86" s="4">
        <v>7.3975934459805423E-2</v>
      </c>
      <c r="AD86" s="5">
        <v>0.1696473688726661</v>
      </c>
      <c r="AE86" s="5">
        <v>0.22975298447551878</v>
      </c>
      <c r="AF86" s="6">
        <v>2.7840264729632023</v>
      </c>
      <c r="AG86" s="6">
        <v>3.0747465418930755</v>
      </c>
      <c r="AH86" s="6">
        <v>2.6945359480030717</v>
      </c>
      <c r="AI86" s="7">
        <v>0.19085150721395203</v>
      </c>
      <c r="AJ86" s="6">
        <v>33.190972604541152</v>
      </c>
      <c r="AK86" s="6">
        <v>55.443593809724483</v>
      </c>
      <c r="AL86" s="6">
        <v>36.424493555632459</v>
      </c>
      <c r="AM86" s="6">
        <v>2.2753185750893525</v>
      </c>
      <c r="AN86" s="6">
        <v>58.667570660083818</v>
      </c>
      <c r="AO86" s="6" t="s">
        <v>293</v>
      </c>
      <c r="AP86" s="6" t="s">
        <v>297</v>
      </c>
      <c r="AQ86" s="6"/>
      <c r="AR86" s="6"/>
      <c r="AS86" s="119" t="s">
        <v>396</v>
      </c>
    </row>
    <row r="87" spans="1:45" s="122" customFormat="1" ht="12.75" x14ac:dyDescent="0.2">
      <c r="A87" s="119" t="s">
        <v>75</v>
      </c>
      <c r="B87" s="119" t="s">
        <v>75</v>
      </c>
      <c r="C87" s="119">
        <v>3.82</v>
      </c>
      <c r="D87" s="129"/>
      <c r="E87" s="120">
        <v>678.7589729</v>
      </c>
      <c r="F87" s="129"/>
      <c r="G87" s="120">
        <v>479.70397290000005</v>
      </c>
      <c r="H87" s="120">
        <v>234.08699999999999</v>
      </c>
      <c r="I87" s="121">
        <v>263.97000000000003</v>
      </c>
      <c r="J87" s="121">
        <v>226.709</v>
      </c>
      <c r="K87" s="121">
        <v>242.36363636363637</v>
      </c>
      <c r="L87" s="121">
        <v>271.81818181818181</v>
      </c>
      <c r="M87" s="121">
        <v>17</v>
      </c>
      <c r="N87" s="121">
        <v>17</v>
      </c>
      <c r="O87" s="121">
        <v>37</v>
      </c>
      <c r="P87" s="121">
        <v>39.601666666666667</v>
      </c>
      <c r="Q87" s="3" t="s">
        <v>404</v>
      </c>
      <c r="R87" s="3">
        <v>3.6315099785730616E-2</v>
      </c>
      <c r="S87" s="80">
        <v>0.12765766573966109</v>
      </c>
      <c r="T87" s="80">
        <v>6.9051675776596211E-2</v>
      </c>
      <c r="U87" s="80">
        <v>0.12153038259564886</v>
      </c>
      <c r="V87" s="3">
        <v>0.77012000000000003</v>
      </c>
      <c r="W87" s="3">
        <v>0.77709000000000006</v>
      </c>
      <c r="X87" s="4">
        <v>0.17174606151537883</v>
      </c>
      <c r="Y87" s="4">
        <v>0.19378762541806022</v>
      </c>
      <c r="Z87" s="3">
        <v>0.14416007723624125</v>
      </c>
      <c r="AA87" s="4">
        <v>6.4401257718680147E-2</v>
      </c>
      <c r="AB87" s="4">
        <v>7.0142535633908473E-2</v>
      </c>
      <c r="AC87" s="4">
        <v>0.13612040133779266</v>
      </c>
      <c r="AD87" s="5">
        <v>0.18047517702197186</v>
      </c>
      <c r="AE87" s="5">
        <v>0.19205892345834125</v>
      </c>
      <c r="AF87" s="6">
        <v>1.8172670110239799</v>
      </c>
      <c r="AG87" s="6">
        <v>1.9792737066391599</v>
      </c>
      <c r="AH87" s="6">
        <v>1.7647972247157193</v>
      </c>
      <c r="AI87" s="7">
        <v>0.14235471097599631</v>
      </c>
      <c r="AJ87" s="6">
        <v>28.217880758823533</v>
      </c>
      <c r="AK87" s="6">
        <v>28.217880758823533</v>
      </c>
      <c r="AL87" s="6">
        <v>12.964972240540542</v>
      </c>
      <c r="AM87" s="6">
        <v>2.2104337091961033</v>
      </c>
      <c r="AN87" s="6">
        <v>12.113226873448088</v>
      </c>
      <c r="AO87" s="6" t="s">
        <v>293</v>
      </c>
      <c r="AP87" s="6" t="s">
        <v>297</v>
      </c>
      <c r="AQ87" s="6"/>
      <c r="AR87" s="6"/>
      <c r="AS87" s="119" t="s">
        <v>396</v>
      </c>
    </row>
    <row r="88" spans="1:45" s="122" customFormat="1" ht="12.75" x14ac:dyDescent="0.2">
      <c r="A88" s="119" t="s">
        <v>122</v>
      </c>
      <c r="B88" s="119" t="s">
        <v>255</v>
      </c>
      <c r="C88" s="119">
        <v>25.94</v>
      </c>
      <c r="D88" s="129"/>
      <c r="E88" s="120">
        <v>3095.7902600399998</v>
      </c>
      <c r="F88" s="129"/>
      <c r="G88" s="120">
        <v>3127.4192600399997</v>
      </c>
      <c r="H88" s="120">
        <v>974.60299999999995</v>
      </c>
      <c r="I88" s="121">
        <v>1041.3463203463205</v>
      </c>
      <c r="J88" s="121">
        <v>900.02099999999996</v>
      </c>
      <c r="K88" s="121">
        <v>990.56521739130437</v>
      </c>
      <c r="L88" s="121">
        <v>1066.217391304348</v>
      </c>
      <c r="M88" s="121">
        <v>266.16800000000001</v>
      </c>
      <c r="N88" s="121">
        <v>243.577</v>
      </c>
      <c r="O88" s="121">
        <v>276.50799999999998</v>
      </c>
      <c r="P88" s="121">
        <v>251.26969696969695</v>
      </c>
      <c r="Q88" s="3" t="s">
        <v>404</v>
      </c>
      <c r="R88" s="3">
        <v>0.11053719479122519</v>
      </c>
      <c r="S88" s="80">
        <v>6.848257223333043E-2</v>
      </c>
      <c r="T88" s="80">
        <v>0.1006023386024375</v>
      </c>
      <c r="U88" s="80">
        <v>7.6372734056094682E-2</v>
      </c>
      <c r="V88" s="3">
        <v>0.81814999999999993</v>
      </c>
      <c r="W88" s="3">
        <v>0.81518000000000002</v>
      </c>
      <c r="X88" s="4">
        <v>0.21521854013957778</v>
      </c>
      <c r="Y88" s="4">
        <v>0.22983399257839576</v>
      </c>
      <c r="Z88" s="3">
        <v>0.24791735711874474</v>
      </c>
      <c r="AA88" s="4">
        <v>0.25559988526341604</v>
      </c>
      <c r="AB88" s="4">
        <v>0.24589698459377604</v>
      </c>
      <c r="AC88" s="4">
        <v>0.2593354809770419</v>
      </c>
      <c r="AD88" s="5">
        <v>0.35845455190996994</v>
      </c>
      <c r="AE88" s="5">
        <v>0.32408245749674647</v>
      </c>
      <c r="AF88" s="6">
        <v>3.0032460853176244</v>
      </c>
      <c r="AG88" s="6">
        <v>3.157206820037747</v>
      </c>
      <c r="AH88" s="6">
        <v>2.9331910035852049</v>
      </c>
      <c r="AI88" s="7">
        <v>0.43854165919543925</v>
      </c>
      <c r="AJ88" s="6">
        <v>11.749794340566858</v>
      </c>
      <c r="AK88" s="6">
        <v>12.839550778768109</v>
      </c>
      <c r="AL88" s="6">
        <v>11.310411489143171</v>
      </c>
      <c r="AM88" s="6">
        <v>1.7157349610837542</v>
      </c>
      <c r="AN88" s="6">
        <v>12.446464089209952</v>
      </c>
      <c r="AO88" s="6" t="s">
        <v>295</v>
      </c>
      <c r="AP88" s="6" t="s">
        <v>298</v>
      </c>
      <c r="AQ88" s="6"/>
      <c r="AR88" s="6" t="s">
        <v>339</v>
      </c>
      <c r="AS88" s="119" t="s">
        <v>397</v>
      </c>
    </row>
    <row r="89" spans="1:45" s="122" customFormat="1" ht="12.75" x14ac:dyDescent="0.2">
      <c r="A89" s="119" t="s">
        <v>112</v>
      </c>
      <c r="B89" s="119" t="s">
        <v>245</v>
      </c>
      <c r="C89" s="119">
        <v>29.02</v>
      </c>
      <c r="D89" s="129"/>
      <c r="E89" s="120">
        <v>7508.6150954200002</v>
      </c>
      <c r="F89" s="129"/>
      <c r="G89" s="120">
        <v>9131.6150954200002</v>
      </c>
      <c r="H89" s="120">
        <v>2528.4</v>
      </c>
      <c r="I89" s="121">
        <v>2498.6777777777775</v>
      </c>
      <c r="J89" s="121">
        <v>2548.1999999999998</v>
      </c>
      <c r="K89" s="121">
        <v>2511.5</v>
      </c>
      <c r="L89" s="121">
        <v>2494.8000000000002</v>
      </c>
      <c r="M89" s="121">
        <v>900.58799999999997</v>
      </c>
      <c r="N89" s="121">
        <v>952.69299999999998</v>
      </c>
      <c r="O89" s="121">
        <v>979.96</v>
      </c>
      <c r="P89" s="121">
        <v>1169.3174603174602</v>
      </c>
      <c r="Q89" s="3" t="s">
        <v>404</v>
      </c>
      <c r="R89" s="3">
        <v>-4.410143329658142E-3</v>
      </c>
      <c r="S89" s="80">
        <v>-1.1755348134085852E-2</v>
      </c>
      <c r="T89" s="80">
        <v>-1.4402323208539292E-2</v>
      </c>
      <c r="U89" s="80">
        <v>-6.64941270157271E-3</v>
      </c>
      <c r="V89" s="3">
        <v>0.82278000000000007</v>
      </c>
      <c r="W89" s="3">
        <v>0.82403000000000004</v>
      </c>
      <c r="X89" s="4">
        <v>0.39909735217997211</v>
      </c>
      <c r="Y89" s="4">
        <v>0.40029942279942277</v>
      </c>
      <c r="Z89" s="3">
        <v>0.36244265147919635</v>
      </c>
      <c r="AA89" s="4">
        <v>0.36042582521422445</v>
      </c>
      <c r="AB89" s="4">
        <v>0.37933227155086602</v>
      </c>
      <c r="AC89" s="4">
        <v>0.39280102613435947</v>
      </c>
      <c r="AD89" s="5">
        <v>0.35803250814953819</v>
      </c>
      <c r="AE89" s="5">
        <v>0.3486704770801386</v>
      </c>
      <c r="AF89" s="6">
        <v>3.654578904344076</v>
      </c>
      <c r="AG89" s="6">
        <v>3.6359208024766079</v>
      </c>
      <c r="AH89" s="6">
        <v>3.6602593776735608</v>
      </c>
      <c r="AI89" s="7">
        <v>-3.1088648865678805</v>
      </c>
      <c r="AJ89" s="6">
        <v>10.139614446805865</v>
      </c>
      <c r="AK89" s="6">
        <v>9.5850553068197204</v>
      </c>
      <c r="AL89" s="6">
        <v>9.3183549281807423</v>
      </c>
      <c r="AM89" s="6">
        <v>-8.6255331030180216</v>
      </c>
      <c r="AN89" s="6">
        <v>7.8093549487757077</v>
      </c>
      <c r="AO89" s="6" t="s">
        <v>295</v>
      </c>
      <c r="AP89" s="6" t="s">
        <v>298</v>
      </c>
      <c r="AQ89" s="6"/>
      <c r="AR89" s="6" t="s">
        <v>341</v>
      </c>
      <c r="AS89" s="119" t="s">
        <v>396</v>
      </c>
    </row>
    <row r="90" spans="1:45" s="122" customFormat="1" ht="12.75" x14ac:dyDescent="0.2">
      <c r="A90" s="119" t="s">
        <v>79</v>
      </c>
      <c r="B90" s="119" t="s">
        <v>211</v>
      </c>
      <c r="C90" s="119" t="s">
        <v>402</v>
      </c>
      <c r="D90" s="129"/>
      <c r="E90" s="120" t="e">
        <v>#VALUE!</v>
      </c>
      <c r="F90" s="129"/>
      <c r="G90" s="120" t="s">
        <v>402</v>
      </c>
      <c r="H90" s="120">
        <v>220.63900000000001</v>
      </c>
      <c r="I90" s="121">
        <v>245.1583333333333</v>
      </c>
      <c r="J90" s="121">
        <v>209.46600000000001</v>
      </c>
      <c r="K90" s="121">
        <v>230.08065217391302</v>
      </c>
      <c r="L90" s="121">
        <v>260.21249999999998</v>
      </c>
      <c r="M90" s="121">
        <v>-9.0180000000000007</v>
      </c>
      <c r="N90" s="121">
        <v>-17.172333333333334</v>
      </c>
      <c r="O90" s="121">
        <v>0.99699999999999989</v>
      </c>
      <c r="P90" s="121">
        <v>0.60699999999999998</v>
      </c>
      <c r="Q90" s="3" t="s">
        <v>404</v>
      </c>
      <c r="R90" s="3">
        <v>0.1097536440362544</v>
      </c>
      <c r="S90" s="80">
        <v>0.11112873668450862</v>
      </c>
      <c r="T90" s="80">
        <v>9.8415266314881622E-2</v>
      </c>
      <c r="U90" s="80">
        <v>0.13096211063984176</v>
      </c>
      <c r="V90" s="3">
        <v>0.88024583333333339</v>
      </c>
      <c r="W90" s="3">
        <v>0.86726749999999997</v>
      </c>
      <c r="X90" s="4">
        <v>-4.2725597482672281E-2</v>
      </c>
      <c r="Y90" s="4">
        <v>1.9701846247458011E-2</v>
      </c>
      <c r="Z90" s="3">
        <v>-0.13350314314332462</v>
      </c>
      <c r="AA90" s="4">
        <v>-3.6784391039804215E-2</v>
      </c>
      <c r="AB90" s="4">
        <v>-7.4636146808003373E-2</v>
      </c>
      <c r="AC90" s="4">
        <v>3.8314838833645578E-3</v>
      </c>
      <c r="AD90" s="5">
        <v>-2.3749499107070221E-2</v>
      </c>
      <c r="AE90" s="5">
        <v>7.4344345644704407E-2</v>
      </c>
      <c r="AF90" s="6" t="e">
        <v>#VALUE!</v>
      </c>
      <c r="AG90" s="6" t="e">
        <v>#VALUE!</v>
      </c>
      <c r="AH90" s="6" t="e">
        <v>#VALUE!</v>
      </c>
      <c r="AI90" s="7" t="e">
        <v>#VALUE!</v>
      </c>
      <c r="AJ90" s="6" t="e">
        <v>#VALUE!</v>
      </c>
      <c r="AK90" s="6" t="e">
        <v>#VALUE!</v>
      </c>
      <c r="AL90" s="6" t="e">
        <v>#VALUE!</v>
      </c>
      <c r="AM90" s="6" t="e">
        <v>#VALUE!</v>
      </c>
      <c r="AN90" s="6" t="e">
        <v>#VALUE!</v>
      </c>
      <c r="AO90" s="6" t="s">
        <v>293</v>
      </c>
      <c r="AP90" s="6" t="s">
        <v>297</v>
      </c>
      <c r="AQ90" s="6"/>
      <c r="AR90" s="6"/>
      <c r="AS90" s="119" t="s">
        <v>397</v>
      </c>
    </row>
    <row r="91" spans="1:45" s="122" customFormat="1" ht="12.75" x14ac:dyDescent="0.2">
      <c r="A91" s="119" t="s">
        <v>56</v>
      </c>
      <c r="B91" s="119" t="s">
        <v>189</v>
      </c>
      <c r="C91" s="119">
        <v>57.814999999999998</v>
      </c>
      <c r="D91" s="129"/>
      <c r="E91" s="120">
        <v>2765.5330588849997</v>
      </c>
      <c r="F91" s="129"/>
      <c r="G91" s="120">
        <v>3798.5130588849997</v>
      </c>
      <c r="H91" s="120">
        <v>1135.4179999999999</v>
      </c>
      <c r="I91" s="121">
        <v>1158.6666666666665</v>
      </c>
      <c r="J91" s="121">
        <v>1155.4949999999999</v>
      </c>
      <c r="K91" s="121">
        <v>1126.5</v>
      </c>
      <c r="L91" s="121">
        <v>1172.6666666666667</v>
      </c>
      <c r="M91" s="121">
        <v>231.20500000000001</v>
      </c>
      <c r="N91" s="121">
        <v>198.08</v>
      </c>
      <c r="O91" s="121">
        <v>255.13300000000001</v>
      </c>
      <c r="P91" s="121">
        <v>425.6</v>
      </c>
      <c r="Q91" s="3" t="s">
        <v>404</v>
      </c>
      <c r="R91" s="3">
        <v>-1.108483684552046E-2</v>
      </c>
      <c r="S91" s="80">
        <v>2.047586586320338E-2</v>
      </c>
      <c r="T91" s="80">
        <v>-2.5093141900224492E-2</v>
      </c>
      <c r="U91" s="80">
        <v>4.0982393845243381E-2</v>
      </c>
      <c r="V91" s="3">
        <v>0.62222</v>
      </c>
      <c r="W91" s="3">
        <v>0.62458999999999998</v>
      </c>
      <c r="X91" s="4">
        <v>0.30344695960940971</v>
      </c>
      <c r="Y91" s="4">
        <v>0.30542950540079589</v>
      </c>
      <c r="Z91" s="3">
        <v>0.19285056252411009</v>
      </c>
      <c r="AA91" s="4">
        <v>0.19954401611047184</v>
      </c>
      <c r="AB91" s="4">
        <v>0.17583666222814026</v>
      </c>
      <c r="AC91" s="4">
        <v>0.21756651506537805</v>
      </c>
      <c r="AD91" s="5">
        <v>0.18176572567858962</v>
      </c>
      <c r="AE91" s="5">
        <v>0.22001988197367522</v>
      </c>
      <c r="AF91" s="6">
        <v>3.2783484397741658</v>
      </c>
      <c r="AG91" s="6">
        <v>3.3719601055348423</v>
      </c>
      <c r="AH91" s="6">
        <v>3.2392095442453095</v>
      </c>
      <c r="AI91" s="7">
        <v>1.6010792714097608</v>
      </c>
      <c r="AJ91" s="6">
        <v>16.429199450206525</v>
      </c>
      <c r="AK91" s="6">
        <v>19.176661242351571</v>
      </c>
      <c r="AL91" s="6">
        <v>14.888364338933025</v>
      </c>
      <c r="AM91" s="6">
        <v>8.0236897232907705</v>
      </c>
      <c r="AN91" s="6">
        <v>8.9250776759515968</v>
      </c>
      <c r="AO91" s="6" t="s">
        <v>294</v>
      </c>
      <c r="AP91" s="6" t="s">
        <v>297</v>
      </c>
      <c r="AQ91" s="6"/>
      <c r="AR91" s="6"/>
      <c r="AS91" s="119" t="s">
        <v>397</v>
      </c>
    </row>
    <row r="92" spans="1:45" s="122" customFormat="1" ht="12.75" x14ac:dyDescent="0.2">
      <c r="A92" s="119" t="s">
        <v>64</v>
      </c>
      <c r="B92" s="119" t="s">
        <v>197</v>
      </c>
      <c r="C92" s="119">
        <v>8.34</v>
      </c>
      <c r="D92" s="129"/>
      <c r="E92" s="120">
        <v>1495.9239408599999</v>
      </c>
      <c r="F92" s="129"/>
      <c r="G92" s="120">
        <v>1928.3549408599999</v>
      </c>
      <c r="H92" s="120">
        <v>612.75300000000004</v>
      </c>
      <c r="I92" s="121">
        <v>613.14285714285722</v>
      </c>
      <c r="J92" s="121">
        <v>698.76499999999999</v>
      </c>
      <c r="K92" s="121">
        <v>588</v>
      </c>
      <c r="L92" s="121">
        <v>621</v>
      </c>
      <c r="M92" s="121">
        <v>113.693</v>
      </c>
      <c r="N92" s="121">
        <v>97.180999999999997</v>
      </c>
      <c r="O92" s="121">
        <v>117.34700000000001</v>
      </c>
      <c r="P92" s="121">
        <v>183.18333333333334</v>
      </c>
      <c r="Q92" s="3" t="s">
        <v>404</v>
      </c>
      <c r="R92" s="3">
        <v>-0.11605929550523231</v>
      </c>
      <c r="S92" s="80">
        <v>6.3623865220918674E-4</v>
      </c>
      <c r="T92" s="80">
        <v>-0.15851538070739091</v>
      </c>
      <c r="U92" s="80">
        <v>5.6122448979591733E-2</v>
      </c>
      <c r="V92" s="3">
        <v>0.77590000000000003</v>
      </c>
      <c r="W92" s="3">
        <v>0.7780800000000001</v>
      </c>
      <c r="X92" s="4">
        <v>0.29554081632653062</v>
      </c>
      <c r="Y92" s="4">
        <v>0.30094847020933979</v>
      </c>
      <c r="Z92" s="3">
        <v>0.18131122981038036</v>
      </c>
      <c r="AA92" s="4">
        <v>0.18542660764212485</v>
      </c>
      <c r="AB92" s="4">
        <v>0.16527380952380952</v>
      </c>
      <c r="AC92" s="4">
        <v>0.1889645732689211</v>
      </c>
      <c r="AD92" s="5">
        <v>6.5251934305148057E-2</v>
      </c>
      <c r="AE92" s="5">
        <v>0.18606284629433403</v>
      </c>
      <c r="AF92" s="6">
        <v>3.1450336873299154</v>
      </c>
      <c r="AG92" s="6">
        <v>3.2795152055442176</v>
      </c>
      <c r="AH92" s="6">
        <v>3.1052414506602255</v>
      </c>
      <c r="AI92" s="7">
        <v>49.431666504534689</v>
      </c>
      <c r="AJ92" s="6">
        <v>16.961070082239011</v>
      </c>
      <c r="AK92" s="6">
        <v>19.842921361788829</v>
      </c>
      <c r="AL92" s="6">
        <v>16.432929183191728</v>
      </c>
      <c r="AM92" s="6">
        <v>266.58345926242845</v>
      </c>
      <c r="AN92" s="6">
        <v>10.526912605913928</v>
      </c>
      <c r="AO92" s="6" t="s">
        <v>294</v>
      </c>
      <c r="AP92" s="6" t="s">
        <v>297</v>
      </c>
      <c r="AQ92" s="6"/>
      <c r="AR92" s="6"/>
      <c r="AS92" s="119" t="s">
        <v>396</v>
      </c>
    </row>
    <row r="93" spans="1:45" s="122" customFormat="1" ht="12.75" x14ac:dyDescent="0.2">
      <c r="A93" s="119" t="s">
        <v>128</v>
      </c>
      <c r="B93" s="119" t="s">
        <v>261</v>
      </c>
      <c r="C93" s="119">
        <v>7.16</v>
      </c>
      <c r="D93" s="129"/>
      <c r="E93" s="120">
        <v>1334.11995748</v>
      </c>
      <c r="F93" s="129"/>
      <c r="G93" s="120">
        <v>1601.7129574800001</v>
      </c>
      <c r="H93" s="120">
        <v>497.66500000000002</v>
      </c>
      <c r="I93" s="121">
        <v>541.6</v>
      </c>
      <c r="J93" s="121">
        <v>466.14699999999999</v>
      </c>
      <c r="K93" s="121">
        <v>508</v>
      </c>
      <c r="L93" s="121">
        <v>553.4</v>
      </c>
      <c r="M93" s="121">
        <v>64.239999999999995</v>
      </c>
      <c r="N93" s="121">
        <v>56.076999999999998</v>
      </c>
      <c r="O93" s="121">
        <v>76.460000000000008</v>
      </c>
      <c r="P93" s="121">
        <v>159.30000000000001</v>
      </c>
      <c r="Q93" s="3" t="s">
        <v>404</v>
      </c>
      <c r="R93" s="3">
        <v>8.6479075565491254E-2</v>
      </c>
      <c r="S93" s="80">
        <v>8.8282278239377954E-2</v>
      </c>
      <c r="T93" s="80">
        <v>8.978498199065954E-2</v>
      </c>
      <c r="U93" s="80">
        <v>8.9370078740157455E-2</v>
      </c>
      <c r="V93" s="3">
        <v>0.81169999999999998</v>
      </c>
      <c r="W93" s="3">
        <v>0.81528999999999996</v>
      </c>
      <c r="X93" s="4">
        <v>0.23818897637795275</v>
      </c>
      <c r="Y93" s="4">
        <v>0.24141669678352007</v>
      </c>
      <c r="Z93" s="3">
        <v>0.14677745069474443</v>
      </c>
      <c r="AA93" s="4">
        <v>0.11861152141802067</v>
      </c>
      <c r="AB93" s="4">
        <v>0.11038779527559055</v>
      </c>
      <c r="AC93" s="4">
        <v>0.13816407661727503</v>
      </c>
      <c r="AD93" s="5">
        <v>0.23325652626023569</v>
      </c>
      <c r="AE93" s="5">
        <v>0.20689379965739862</v>
      </c>
      <c r="AF93" s="6">
        <v>2.9573725211964552</v>
      </c>
      <c r="AG93" s="6">
        <v>3.1529782627559055</v>
      </c>
      <c r="AH93" s="6">
        <v>2.8943132589085656</v>
      </c>
      <c r="AI93" s="7">
        <v>0.33499050774126166</v>
      </c>
      <c r="AJ93" s="6">
        <v>24.933265216064761</v>
      </c>
      <c r="AK93" s="6">
        <v>28.562743325784194</v>
      </c>
      <c r="AL93" s="6">
        <v>20.948377680878892</v>
      </c>
      <c r="AM93" s="6">
        <v>2.8242661736093915</v>
      </c>
      <c r="AN93" s="6">
        <v>10.054695276082862</v>
      </c>
      <c r="AO93" s="6" t="s">
        <v>295</v>
      </c>
      <c r="AP93" s="6" t="s">
        <v>298</v>
      </c>
      <c r="AQ93" s="6"/>
      <c r="AR93" s="6" t="s">
        <v>339</v>
      </c>
      <c r="AS93" s="119" t="s">
        <v>397</v>
      </c>
    </row>
    <row r="94" spans="1:45" s="122" customFormat="1" ht="12.75" x14ac:dyDescent="0.2">
      <c r="A94" s="119" t="s">
        <v>107</v>
      </c>
      <c r="B94" s="119" t="s">
        <v>240</v>
      </c>
      <c r="C94" s="119">
        <v>86.7</v>
      </c>
      <c r="D94" s="129"/>
      <c r="E94" s="120">
        <v>12473.116047900001</v>
      </c>
      <c r="F94" s="129"/>
      <c r="G94" s="120">
        <v>15891.448047900001</v>
      </c>
      <c r="H94" s="120">
        <v>4133.2020000000002</v>
      </c>
      <c r="I94" s="121">
        <v>4353.2180735930742</v>
      </c>
      <c r="J94" s="121">
        <v>3991.1680000000001</v>
      </c>
      <c r="K94" s="121">
        <v>4190.3999999999996</v>
      </c>
      <c r="L94" s="121">
        <v>4417.6000000000004</v>
      </c>
      <c r="M94" s="121">
        <v>901.20900000000006</v>
      </c>
      <c r="N94" s="121">
        <v>803.54200000000003</v>
      </c>
      <c r="O94" s="121">
        <v>887.38599999999997</v>
      </c>
      <c r="P94" s="121">
        <v>1847.9458333333332</v>
      </c>
      <c r="Q94" s="3" t="s">
        <v>404</v>
      </c>
      <c r="R94" s="3">
        <v>4.2094212008029791E-2</v>
      </c>
      <c r="S94" s="80">
        <v>5.3231386608511677E-2</v>
      </c>
      <c r="T94" s="80">
        <v>4.9918219428497945E-2</v>
      </c>
      <c r="U94" s="80">
        <v>5.421916762122958E-2</v>
      </c>
      <c r="V94" s="3">
        <v>0.73265000000000002</v>
      </c>
      <c r="W94" s="3">
        <v>0.73069000000000006</v>
      </c>
      <c r="X94" s="4">
        <v>0.29812452271859491</v>
      </c>
      <c r="Y94" s="4">
        <v>0.29373211698659907</v>
      </c>
      <c r="Z94" s="3">
        <v>0.1737889897469323</v>
      </c>
      <c r="AA94" s="4">
        <v>0.207021331062369</v>
      </c>
      <c r="AB94" s="4">
        <v>0.19175782741504394</v>
      </c>
      <c r="AC94" s="4">
        <v>0.20087513582035493</v>
      </c>
      <c r="AD94" s="5">
        <v>0.21588320175496209</v>
      </c>
      <c r="AE94" s="5">
        <v>0.26025271767088065</v>
      </c>
      <c r="AF94" s="6">
        <v>3.6505058509011157</v>
      </c>
      <c r="AG94" s="6">
        <v>3.7923463268184427</v>
      </c>
      <c r="AH94" s="6">
        <v>3.5973035240628395</v>
      </c>
      <c r="AI94" s="7">
        <v>0.68578071763349502</v>
      </c>
      <c r="AJ94" s="6">
        <v>17.633476860417506</v>
      </c>
      <c r="AK94" s="6">
        <v>19.776748505865282</v>
      </c>
      <c r="AL94" s="6">
        <v>17.908157270793094</v>
      </c>
      <c r="AM94" s="6">
        <v>3.312608966980755</v>
      </c>
      <c r="AN94" s="6">
        <v>8.5995204844478224</v>
      </c>
      <c r="AO94" s="6" t="s">
        <v>295</v>
      </c>
      <c r="AP94" s="6" t="s">
        <v>298</v>
      </c>
      <c r="AQ94" s="6"/>
      <c r="AR94" s="6"/>
      <c r="AS94" s="119" t="s">
        <v>397</v>
      </c>
    </row>
    <row r="95" spans="1:45" s="122" customFormat="1" ht="12.75" x14ac:dyDescent="0.2">
      <c r="A95" s="119" t="s">
        <v>48</v>
      </c>
      <c r="B95" s="119" t="s">
        <v>181</v>
      </c>
      <c r="C95" s="119">
        <v>36.08</v>
      </c>
      <c r="D95" s="129"/>
      <c r="E95" s="120">
        <v>4888.6276331199997</v>
      </c>
      <c r="F95" s="129"/>
      <c r="G95" s="120">
        <v>4608.0766331199993</v>
      </c>
      <c r="H95" s="120">
        <v>1123.9259999999999</v>
      </c>
      <c r="I95" s="121">
        <v>1367.1666666666667</v>
      </c>
      <c r="J95" s="121">
        <v>871.745</v>
      </c>
      <c r="K95" s="121">
        <v>1180.1666666666667</v>
      </c>
      <c r="L95" s="121">
        <v>1436.6666666666667</v>
      </c>
      <c r="M95" s="121">
        <v>93.911000000000001</v>
      </c>
      <c r="N95" s="121">
        <v>103.29</v>
      </c>
      <c r="O95" s="121">
        <v>105.83500000000001</v>
      </c>
      <c r="P95" s="121">
        <v>156.26666666666668</v>
      </c>
      <c r="Q95" s="3" t="s">
        <v>404</v>
      </c>
      <c r="R95" s="3">
        <v>0.44339564487047151</v>
      </c>
      <c r="S95" s="80">
        <v>0.21642053539705186</v>
      </c>
      <c r="T95" s="80">
        <v>0.3537980334463251</v>
      </c>
      <c r="U95" s="80">
        <v>0.21734218330744248</v>
      </c>
      <c r="V95" s="3">
        <v>0.25878000000000001</v>
      </c>
      <c r="W95" s="3">
        <v>0.26200000000000001</v>
      </c>
      <c r="X95" s="4">
        <v>6.0048298262957212E-2</v>
      </c>
      <c r="Y95" s="4">
        <v>6.7877262180974465E-2</v>
      </c>
      <c r="Z95" s="3">
        <v>9.6317729103161567E-2</v>
      </c>
      <c r="AA95" s="4">
        <v>6.8690235279775691E-2</v>
      </c>
      <c r="AB95" s="4">
        <v>8.7521536506143194E-2</v>
      </c>
      <c r="AC95" s="4">
        <v>7.3667053364269139E-2</v>
      </c>
      <c r="AD95" s="5">
        <v>0.53971337397363306</v>
      </c>
      <c r="AE95" s="5">
        <v>0.28511077067682755</v>
      </c>
      <c r="AF95" s="6">
        <v>3.3705302692575878</v>
      </c>
      <c r="AG95" s="6">
        <v>3.9045981921649475</v>
      </c>
      <c r="AH95" s="6">
        <v>3.2074779348863101</v>
      </c>
      <c r="AI95" s="7">
        <v>0.15573985449550376</v>
      </c>
      <c r="AJ95" s="6">
        <v>49.06855036279029</v>
      </c>
      <c r="AK95" s="6">
        <v>44.612998674799101</v>
      </c>
      <c r="AL95" s="6">
        <v>43.540195900411007</v>
      </c>
      <c r="AM95" s="6">
        <v>2.2672779305701094</v>
      </c>
      <c r="AN95" s="6">
        <v>29.488545007167229</v>
      </c>
      <c r="AO95" s="6" t="s">
        <v>293</v>
      </c>
      <c r="AP95" s="6" t="s">
        <v>297</v>
      </c>
      <c r="AQ95" s="6"/>
      <c r="AR95" s="6"/>
      <c r="AS95" s="119" t="s">
        <v>396</v>
      </c>
    </row>
    <row r="96" spans="1:45" s="122" customFormat="1" ht="12.75" x14ac:dyDescent="0.2">
      <c r="A96" s="119" t="s">
        <v>53</v>
      </c>
      <c r="B96" s="119" t="s">
        <v>186</v>
      </c>
      <c r="C96" s="119">
        <v>11.810499999999999</v>
      </c>
      <c r="D96" s="125">
        <v>242.251</v>
      </c>
      <c r="E96" s="124">
        <v>2861.1054355000001</v>
      </c>
      <c r="F96" s="125">
        <v>432.74900000000025</v>
      </c>
      <c r="G96" s="124">
        <v>2428.3564354999999</v>
      </c>
      <c r="H96" s="120">
        <v>756.41899999999998</v>
      </c>
      <c r="I96" s="121">
        <v>817.10989010988999</v>
      </c>
      <c r="J96" s="121">
        <v>723.87599999999998</v>
      </c>
      <c r="K96" s="121">
        <v>781.49877329192543</v>
      </c>
      <c r="L96" s="121">
        <v>845.67402525011232</v>
      </c>
      <c r="M96" s="121">
        <v>73.578000000000003</v>
      </c>
      <c r="N96" s="121">
        <v>64.554333333333346</v>
      </c>
      <c r="O96" s="121">
        <v>101.74833333333333</v>
      </c>
      <c r="P96" s="121">
        <v>76.416666666666671</v>
      </c>
      <c r="Q96" s="3" t="s">
        <v>404</v>
      </c>
      <c r="R96" s="3">
        <v>9.7375880968753853E-2</v>
      </c>
      <c r="S96" s="80">
        <v>8.0234486587314802E-2</v>
      </c>
      <c r="T96" s="80">
        <v>7.9603099552859158E-2</v>
      </c>
      <c r="U96" s="80">
        <v>8.2118173631751112E-2</v>
      </c>
      <c r="V96" s="3">
        <v>0.89911469333333327</v>
      </c>
      <c r="W96" s="3">
        <v>0.89857083333333332</v>
      </c>
      <c r="X96" s="4">
        <v>5.6696612774825364E-2</v>
      </c>
      <c r="Y96" s="4">
        <v>8.767799150277869E-2</v>
      </c>
      <c r="Z96" s="3">
        <v>5.6518939899711663E-2</v>
      </c>
      <c r="AA96" s="4">
        <v>9.004663985905835E-2</v>
      </c>
      <c r="AB96" s="4">
        <v>8.2603243331284618E-2</v>
      </c>
      <c r="AC96" s="4">
        <v>0.12031625696821037</v>
      </c>
      <c r="AD96" s="5">
        <v>0.15389482086846551</v>
      </c>
      <c r="AE96" s="5">
        <v>0.17028112644637317</v>
      </c>
      <c r="AF96" s="6">
        <v>2.9718847671436452</v>
      </c>
      <c r="AG96" s="6">
        <v>3.1073067783215804</v>
      </c>
      <c r="AH96" s="6">
        <v>2.8715041055941164</v>
      </c>
      <c r="AI96" s="7">
        <v>0.37039992321874032</v>
      </c>
      <c r="AJ96" s="6">
        <v>33.003838586262198</v>
      </c>
      <c r="AK96" s="6">
        <v>37.617249069259479</v>
      </c>
      <c r="AL96" s="6">
        <v>23.866301844420054</v>
      </c>
      <c r="AM96" s="6">
        <v>4.1134230416425641</v>
      </c>
      <c r="AN96" s="6">
        <v>31.777837760087237</v>
      </c>
      <c r="AO96" s="6" t="s">
        <v>293</v>
      </c>
      <c r="AP96" s="6" t="s">
        <v>297</v>
      </c>
      <c r="AQ96" s="6"/>
      <c r="AR96" s="6" t="s">
        <v>341</v>
      </c>
      <c r="AS96" s="119" t="s">
        <v>396</v>
      </c>
    </row>
    <row r="97" spans="1:45" s="122" customFormat="1" ht="12.75" x14ac:dyDescent="0.2">
      <c r="A97" s="119" t="s">
        <v>55</v>
      </c>
      <c r="B97" s="119" t="s">
        <v>188</v>
      </c>
      <c r="C97" s="119">
        <v>26.77</v>
      </c>
      <c r="D97" s="125">
        <v>112.97218896385017</v>
      </c>
      <c r="E97" s="124">
        <v>3024.2654985622689</v>
      </c>
      <c r="F97" s="125">
        <v>539.29399999999987</v>
      </c>
      <c r="G97" s="124">
        <v>2484.9714985622691</v>
      </c>
      <c r="H97" s="120">
        <v>654.62199999999996</v>
      </c>
      <c r="I97" s="121">
        <v>781</v>
      </c>
      <c r="J97" s="121">
        <v>593.41</v>
      </c>
      <c r="K97" s="121">
        <v>708.23899313501147</v>
      </c>
      <c r="L97" s="121">
        <v>832.77358998519321</v>
      </c>
      <c r="M97" s="121">
        <v>48.890999999999998</v>
      </c>
      <c r="N97" s="121">
        <v>39.176333333333332</v>
      </c>
      <c r="O97" s="121">
        <v>66.015666666666675</v>
      </c>
      <c r="P97" s="121">
        <v>45.603333333333332</v>
      </c>
      <c r="Q97" s="3" t="s">
        <v>404</v>
      </c>
      <c r="R97" s="3">
        <v>0.22160370686228587</v>
      </c>
      <c r="S97" s="80">
        <v>0.19305492329924756</v>
      </c>
      <c r="T97" s="80">
        <v>0.19350700718729286</v>
      </c>
      <c r="U97" s="80">
        <v>0.17583696754527844</v>
      </c>
      <c r="V97" s="3">
        <v>0.6941775</v>
      </c>
      <c r="W97" s="3">
        <v>0.6983583333333333</v>
      </c>
      <c r="X97" s="4">
        <v>3.3541879078857958E-2</v>
      </c>
      <c r="Y97" s="4">
        <v>6.0272084277903717E-2</v>
      </c>
      <c r="Z97" s="3">
        <v>4.1798167492079402E-2</v>
      </c>
      <c r="AA97" s="4">
        <v>6.2600512163892438E-2</v>
      </c>
      <c r="AB97" s="4">
        <v>5.5315131916021394E-2</v>
      </c>
      <c r="AC97" s="4">
        <v>7.9272046400799573E-2</v>
      </c>
      <c r="AD97" s="5">
        <v>0.26340187435436524</v>
      </c>
      <c r="AE97" s="5">
        <v>0.25565543546314001</v>
      </c>
      <c r="AF97" s="6">
        <v>3.1817816882999606</v>
      </c>
      <c r="AG97" s="6">
        <v>3.5086623620687312</v>
      </c>
      <c r="AH97" s="6">
        <v>2.9839701071769724</v>
      </c>
      <c r="AI97" s="7">
        <v>0.16481225311037492</v>
      </c>
      <c r="AJ97" s="6">
        <v>50.82676767835121</v>
      </c>
      <c r="AK97" s="6">
        <v>63.430425645473093</v>
      </c>
      <c r="AL97" s="6">
        <v>37.642148054183131</v>
      </c>
      <c r="AM97" s="6">
        <v>2.6327620559858214</v>
      </c>
      <c r="AN97" s="6">
        <v>54.491005742904811</v>
      </c>
      <c r="AO97" s="6" t="s">
        <v>293</v>
      </c>
      <c r="AP97" s="6" t="s">
        <v>297</v>
      </c>
      <c r="AQ97" s="6"/>
      <c r="AR97" s="6" t="s">
        <v>365</v>
      </c>
      <c r="AS97" s="119" t="s">
        <v>396</v>
      </c>
    </row>
    <row r="98" spans="1:45" s="122" customFormat="1" ht="12.75" x14ac:dyDescent="0.2">
      <c r="A98" s="119" t="s">
        <v>126</v>
      </c>
      <c r="B98" s="119" t="s">
        <v>259</v>
      </c>
      <c r="C98" s="119">
        <v>41.8705</v>
      </c>
      <c r="D98" s="129"/>
      <c r="E98" s="120">
        <v>3091.0129557439996</v>
      </c>
      <c r="F98" s="129"/>
      <c r="G98" s="120">
        <v>3206.0559557439997</v>
      </c>
      <c r="H98" s="120">
        <v>690.755</v>
      </c>
      <c r="I98" s="121">
        <v>776.16666666666663</v>
      </c>
      <c r="J98" s="121">
        <v>617.02200000000005</v>
      </c>
      <c r="K98" s="121">
        <v>713.42857142857144</v>
      </c>
      <c r="L98" s="121">
        <v>798.85714285714278</v>
      </c>
      <c r="M98" s="121">
        <v>36.36</v>
      </c>
      <c r="N98" s="121">
        <v>56.465000000000003</v>
      </c>
      <c r="O98" s="121">
        <v>70.548000000000002</v>
      </c>
      <c r="P98" s="121">
        <v>69.837999999999994</v>
      </c>
      <c r="Q98" s="3" t="s">
        <v>404</v>
      </c>
      <c r="R98" s="3">
        <v>0.15965422995823084</v>
      </c>
      <c r="S98" s="80">
        <v>0.12364972626570436</v>
      </c>
      <c r="T98" s="80">
        <v>0.15624494982119175</v>
      </c>
      <c r="U98" s="80">
        <v>0.11974369243091698</v>
      </c>
      <c r="V98" s="3">
        <v>0.76701000000000008</v>
      </c>
      <c r="W98" s="3">
        <v>0.77162999999999993</v>
      </c>
      <c r="X98" s="4">
        <v>8.2652983580296352E-2</v>
      </c>
      <c r="Y98" s="4">
        <v>9.2903969957081556E-2</v>
      </c>
      <c r="Z98" s="3">
        <v>0.10516898176632816</v>
      </c>
      <c r="AA98" s="4">
        <v>4.6845608761004943E-2</v>
      </c>
      <c r="AB98" s="4">
        <v>7.9145975170204247E-2</v>
      </c>
      <c r="AC98" s="4">
        <v>8.8311158798283274E-2</v>
      </c>
      <c r="AD98" s="5">
        <v>0.26482321172455903</v>
      </c>
      <c r="AE98" s="5">
        <v>0.1704953350267093</v>
      </c>
      <c r="AF98" s="6">
        <v>4.130628244462959</v>
      </c>
      <c r="AG98" s="6">
        <v>4.4938709832214654</v>
      </c>
      <c r="AH98" s="6">
        <v>4.0133032350157372</v>
      </c>
      <c r="AI98" s="7">
        <v>0.33405882642933393</v>
      </c>
      <c r="AJ98" s="6">
        <v>88.175356318591852</v>
      </c>
      <c r="AK98" s="6">
        <v>56.779526356929061</v>
      </c>
      <c r="AL98" s="6">
        <v>45.445029706639446</v>
      </c>
      <c r="AM98" s="6">
        <v>7.1310595649129453</v>
      </c>
      <c r="AN98" s="6">
        <v>45.907041377817237</v>
      </c>
      <c r="AO98" s="6" t="s">
        <v>295</v>
      </c>
      <c r="AP98" s="6" t="s">
        <v>298</v>
      </c>
      <c r="AQ98" s="6"/>
      <c r="AR98" s="6"/>
      <c r="AS98" s="119" t="s">
        <v>397</v>
      </c>
    </row>
    <row r="99" spans="1:45" s="122" customFormat="1" ht="12.75" x14ac:dyDescent="0.2">
      <c r="A99" s="119" t="s">
        <v>102</v>
      </c>
      <c r="B99" s="119" t="s">
        <v>235</v>
      </c>
      <c r="C99" s="119">
        <v>118.58</v>
      </c>
      <c r="D99" s="129"/>
      <c r="E99" s="120">
        <v>17978.247958439999</v>
      </c>
      <c r="F99" s="129"/>
      <c r="G99" s="120">
        <v>16614.17995844</v>
      </c>
      <c r="H99" s="120">
        <v>4896.125</v>
      </c>
      <c r="I99" s="121">
        <v>5350.173913043478</v>
      </c>
      <c r="J99" s="121">
        <v>4458.0360000000001</v>
      </c>
      <c r="K99" s="121">
        <v>5019.5600000000004</v>
      </c>
      <c r="L99" s="121">
        <v>5459</v>
      </c>
      <c r="M99" s="121">
        <v>880.95100000000002</v>
      </c>
      <c r="N99" s="121">
        <v>926.577</v>
      </c>
      <c r="O99" s="121">
        <v>908.49700000000007</v>
      </c>
      <c r="P99" s="121">
        <v>1149.2878787878788</v>
      </c>
      <c r="Q99" s="3" t="s">
        <v>404</v>
      </c>
      <c r="R99" s="3">
        <v>0.12836013312281602</v>
      </c>
      <c r="S99" s="80">
        <v>9.2736380922357586E-2</v>
      </c>
      <c r="T99" s="80">
        <v>0.12595770873093004</v>
      </c>
      <c r="U99" s="80">
        <v>8.7545521918255709E-2</v>
      </c>
      <c r="V99" s="3">
        <v>0.50507999999999997</v>
      </c>
      <c r="W99" s="3">
        <v>0.50390999999999997</v>
      </c>
      <c r="X99" s="4">
        <v>0.18044609487684177</v>
      </c>
      <c r="Y99" s="4">
        <v>0.19137570983696647</v>
      </c>
      <c r="Z99" s="3">
        <v>0.16999218769945618</v>
      </c>
      <c r="AA99" s="4">
        <v>0.16465838574934583</v>
      </c>
      <c r="AB99" s="4">
        <v>0.18459327112336538</v>
      </c>
      <c r="AC99" s="4">
        <v>0.16642187213775417</v>
      </c>
      <c r="AD99" s="5">
        <v>0.2983523208222722</v>
      </c>
      <c r="AE99" s="5">
        <v>0.25739476667170341</v>
      </c>
      <c r="AF99" s="6">
        <v>3.1053532517766183</v>
      </c>
      <c r="AG99" s="6">
        <v>3.3098877109627134</v>
      </c>
      <c r="AH99" s="6">
        <v>3.0434475102472978</v>
      </c>
      <c r="AI99" s="7">
        <v>0.33485814530292463</v>
      </c>
      <c r="AJ99" s="6">
        <v>18.859368975618395</v>
      </c>
      <c r="AK99" s="6">
        <v>17.930706199743788</v>
      </c>
      <c r="AL99" s="6">
        <v>18.287545207568101</v>
      </c>
      <c r="AM99" s="6">
        <v>2.0336537600500253</v>
      </c>
      <c r="AN99" s="6">
        <v>14.456064720670771</v>
      </c>
      <c r="AO99" s="6" t="s">
        <v>295</v>
      </c>
      <c r="AP99" s="6" t="s">
        <v>298</v>
      </c>
      <c r="AQ99" s="6"/>
      <c r="AR99" s="6"/>
      <c r="AS99" s="119" t="s">
        <v>396</v>
      </c>
    </row>
    <row r="100" spans="1:45" s="122" customFormat="1" ht="12.75" x14ac:dyDescent="0.2">
      <c r="A100" s="119" t="s">
        <v>115</v>
      </c>
      <c r="B100" s="119" t="s">
        <v>248</v>
      </c>
      <c r="C100" s="119">
        <v>13.43</v>
      </c>
      <c r="D100" s="129"/>
      <c r="E100" s="120">
        <v>7131.6207192099992</v>
      </c>
      <c r="F100" s="129"/>
      <c r="G100" s="120">
        <v>5688.2927192099987</v>
      </c>
      <c r="H100" s="120">
        <v>1496.6510000000001</v>
      </c>
      <c r="I100" s="121">
        <v>1640.0555555555559</v>
      </c>
      <c r="J100" s="121">
        <v>1429.664</v>
      </c>
      <c r="K100" s="121">
        <v>1560.9428623188408</v>
      </c>
      <c r="L100" s="121">
        <v>1701.4585819835181</v>
      </c>
      <c r="M100" s="121">
        <v>403.43700000000001</v>
      </c>
      <c r="N100" s="121">
        <v>356.28799999999995</v>
      </c>
      <c r="O100" s="121">
        <v>407.71499999999997</v>
      </c>
      <c r="P100" s="121">
        <v>374.21428571428572</v>
      </c>
      <c r="Q100" s="3" t="s">
        <v>404</v>
      </c>
      <c r="R100" s="3">
        <v>8.2537997119791984E-2</v>
      </c>
      <c r="S100" s="80">
        <v>9.5816964379508596E-2</v>
      </c>
      <c r="T100" s="80">
        <v>9.1824975881634296E-2</v>
      </c>
      <c r="U100" s="80">
        <v>9.0019771419394434E-2</v>
      </c>
      <c r="V100" s="3">
        <v>0.84841772500000001</v>
      </c>
      <c r="W100" s="3">
        <v>0.84802999999999995</v>
      </c>
      <c r="X100" s="4">
        <v>0.21697505709051773</v>
      </c>
      <c r="Y100" s="4">
        <v>0.22261507705451888</v>
      </c>
      <c r="Z100" s="3">
        <v>0.20688991621961297</v>
      </c>
      <c r="AA100" s="4">
        <v>0.23760622333345141</v>
      </c>
      <c r="AB100" s="4">
        <v>0.22421232485036691</v>
      </c>
      <c r="AC100" s="4">
        <v>0.23951217751198639</v>
      </c>
      <c r="AD100" s="5">
        <v>0.32681387285356489</v>
      </c>
      <c r="AE100" s="5">
        <v>0.32681387285356489</v>
      </c>
      <c r="AF100" s="6">
        <v>3.4683536785942195</v>
      </c>
      <c r="AG100" s="6">
        <v>3.6441389730049574</v>
      </c>
      <c r="AH100" s="6">
        <v>3.3431861224495565</v>
      </c>
      <c r="AI100" s="7">
        <v>0.3619769944763519</v>
      </c>
      <c r="AJ100" s="6">
        <v>14.099581147019233</v>
      </c>
      <c r="AK100" s="6">
        <v>15.96543447775395</v>
      </c>
      <c r="AL100" s="6">
        <v>13.951639550200506</v>
      </c>
      <c r="AM100" s="6">
        <v>1.4715119852027545</v>
      </c>
      <c r="AN100" s="6">
        <v>15.200629522607365</v>
      </c>
      <c r="AO100" s="6" t="s">
        <v>295</v>
      </c>
      <c r="AP100" s="6" t="s">
        <v>298</v>
      </c>
      <c r="AQ100" s="6"/>
      <c r="AR100" s="6"/>
      <c r="AS100" s="119" t="s">
        <v>397</v>
      </c>
    </row>
    <row r="101" spans="1:45" s="122" customFormat="1" ht="12.75" x14ac:dyDescent="0.2">
      <c r="A101" s="119" t="s">
        <v>20</v>
      </c>
      <c r="B101" s="119" t="s">
        <v>153</v>
      </c>
      <c r="C101" s="119">
        <v>81.25</v>
      </c>
      <c r="D101" s="129"/>
      <c r="E101" s="120">
        <v>25083.595793749999</v>
      </c>
      <c r="F101" s="129"/>
      <c r="G101" s="120">
        <v>17359.204793749999</v>
      </c>
      <c r="H101" s="120">
        <v>4753.6210000000001</v>
      </c>
      <c r="I101" s="121">
        <v>4913.74</v>
      </c>
      <c r="J101" s="121">
        <v>4665.433</v>
      </c>
      <c r="K101" s="121">
        <v>4819.3215434782596</v>
      </c>
      <c r="L101" s="121">
        <v>4982.3382806324107</v>
      </c>
      <c r="M101" s="121">
        <v>1764.3579999999999</v>
      </c>
      <c r="N101" s="121">
        <v>1774.5263333333332</v>
      </c>
      <c r="O101" s="121">
        <v>1791.0086666666666</v>
      </c>
      <c r="P101" s="121">
        <v>2055.6623376623374</v>
      </c>
      <c r="Q101" s="3" t="s">
        <v>404</v>
      </c>
      <c r="R101" s="3">
        <v>3.633862066589956E-2</v>
      </c>
      <c r="S101" s="80">
        <v>3.3683585628723867E-2</v>
      </c>
      <c r="T101" s="80">
        <v>3.2984836236692239E-2</v>
      </c>
      <c r="U101" s="80">
        <v>3.3825661077699465E-2</v>
      </c>
      <c r="V101" s="3">
        <v>0.78213442166666669</v>
      </c>
      <c r="W101" s="3">
        <v>0.78364333333333336</v>
      </c>
      <c r="X101" s="4">
        <v>0.39677846409474088</v>
      </c>
      <c r="Y101" s="4">
        <v>0.39291999520450999</v>
      </c>
      <c r="Z101" s="3">
        <v>0.38818618480522532</v>
      </c>
      <c r="AA101" s="4">
        <v>0.36520162921113108</v>
      </c>
      <c r="AB101" s="4">
        <v>0.35396837081963811</v>
      </c>
      <c r="AC101" s="4">
        <v>0.37133791523636422</v>
      </c>
      <c r="AD101" s="5">
        <v>0.39708410248048642</v>
      </c>
      <c r="AE101" s="5">
        <v>0.39708410248048642</v>
      </c>
      <c r="AF101" s="6">
        <v>3.5327886281630692</v>
      </c>
      <c r="AG101" s="6">
        <v>3.602001783267879</v>
      </c>
      <c r="AH101" s="6">
        <v>3.4841481681863211</v>
      </c>
      <c r="AI101" s="7">
        <v>1.0488160812518914</v>
      </c>
      <c r="AJ101" s="6">
        <v>9.8388222762897328</v>
      </c>
      <c r="AK101" s="6">
        <v>9.7824441754785649</v>
      </c>
      <c r="AL101" s="6">
        <v>9.6924180864283915</v>
      </c>
      <c r="AM101" s="6">
        <v>2.9209545517920223</v>
      </c>
      <c r="AN101" s="6">
        <v>8.4445798688371063</v>
      </c>
      <c r="AO101" s="6" t="s">
        <v>293</v>
      </c>
      <c r="AP101" s="6" t="s">
        <v>297</v>
      </c>
      <c r="AQ101" s="6"/>
      <c r="AR101" s="6" t="s">
        <v>353</v>
      </c>
      <c r="AS101" s="119" t="s">
        <v>396</v>
      </c>
    </row>
    <row r="102" spans="1:45" s="122" customFormat="1" ht="12.75" x14ac:dyDescent="0.2">
      <c r="A102" s="119" t="s">
        <v>52</v>
      </c>
      <c r="B102" s="119" t="s">
        <v>185</v>
      </c>
      <c r="C102" s="119">
        <v>35.06</v>
      </c>
      <c r="D102" s="129"/>
      <c r="E102" s="120">
        <v>4734.0650265000004</v>
      </c>
      <c r="F102" s="129"/>
      <c r="G102" s="120">
        <v>4317.0940265000008</v>
      </c>
      <c r="H102" s="120">
        <v>866.298</v>
      </c>
      <c r="I102" s="121">
        <v>976.31746031746025</v>
      </c>
      <c r="J102" s="121">
        <v>770.48800000000006</v>
      </c>
      <c r="K102" s="121">
        <v>895.8888888888888</v>
      </c>
      <c r="L102" s="121">
        <v>1004.1111111111112</v>
      </c>
      <c r="M102" s="121">
        <v>344.99200000000002</v>
      </c>
      <c r="N102" s="121">
        <v>326.23700000000002</v>
      </c>
      <c r="O102" s="121">
        <v>346.42200000000003</v>
      </c>
      <c r="P102" s="121">
        <v>280.41746031746038</v>
      </c>
      <c r="Q102" s="3" t="s">
        <v>404</v>
      </c>
      <c r="R102" s="3">
        <v>0.17834335124724049</v>
      </c>
      <c r="S102" s="80">
        <v>0.12699955479230041</v>
      </c>
      <c r="T102" s="80">
        <v>0.16275514854078033</v>
      </c>
      <c r="U102" s="80">
        <v>0.12079871015750987</v>
      </c>
      <c r="V102" s="3">
        <v>0.85840000000000005</v>
      </c>
      <c r="W102" s="3">
        <v>0.85775000000000001</v>
      </c>
      <c r="X102" s="4">
        <v>0.20352189011534169</v>
      </c>
      <c r="Y102" s="4">
        <v>0.2161115414407436</v>
      </c>
      <c r="Z102" s="3">
        <v>0.33426834645814724</v>
      </c>
      <c r="AA102" s="4">
        <v>0.36564300598665161</v>
      </c>
      <c r="AB102" s="4">
        <v>0.38206908364259212</v>
      </c>
      <c r="AC102" s="4">
        <v>0.37902571391652667</v>
      </c>
      <c r="AD102" s="5">
        <v>0.45466058717758229</v>
      </c>
      <c r="AE102" s="5">
        <v>0.45466058717758229</v>
      </c>
      <c r="AF102" s="6">
        <v>4.4218138074640709</v>
      </c>
      <c r="AG102" s="6">
        <v>4.818782864752575</v>
      </c>
      <c r="AH102" s="6">
        <v>4.2994186387628641</v>
      </c>
      <c r="AI102" s="7">
        <v>0.34817553610291485</v>
      </c>
      <c r="AJ102" s="6">
        <v>12.513606189418887</v>
      </c>
      <c r="AK102" s="6">
        <v>13.232999403807662</v>
      </c>
      <c r="AL102" s="6">
        <v>12.461951107319976</v>
      </c>
      <c r="AM102" s="6">
        <v>0.98532677613587571</v>
      </c>
      <c r="AN102" s="6">
        <v>15.395239731551031</v>
      </c>
      <c r="AO102" s="6" t="s">
        <v>294</v>
      </c>
      <c r="AP102" s="6" t="s">
        <v>297</v>
      </c>
      <c r="AQ102" s="6"/>
      <c r="AR102" s="6"/>
      <c r="AS102" s="119" t="s">
        <v>397</v>
      </c>
    </row>
    <row r="103" spans="1:45" s="122" customFormat="1" ht="12.75" x14ac:dyDescent="0.2">
      <c r="A103" s="119" t="s">
        <v>81</v>
      </c>
      <c r="B103" s="119" t="s">
        <v>213</v>
      </c>
      <c r="C103" s="119">
        <v>21.14</v>
      </c>
      <c r="D103" s="129"/>
      <c r="E103" s="120">
        <v>607.45502495999995</v>
      </c>
      <c r="F103" s="129"/>
      <c r="G103" s="120">
        <v>544.2310249599999</v>
      </c>
      <c r="H103" s="120">
        <v>236.691</v>
      </c>
      <c r="I103" s="121">
        <v>253.76161616161608</v>
      </c>
      <c r="J103" s="121">
        <v>216.93100000000001</v>
      </c>
      <c r="K103" s="121">
        <v>242</v>
      </c>
      <c r="L103" s="121">
        <v>259.53846153846155</v>
      </c>
      <c r="M103" s="121">
        <v>39.609000000000002</v>
      </c>
      <c r="N103" s="121">
        <v>29.901</v>
      </c>
      <c r="O103" s="121">
        <v>45.322000000000003</v>
      </c>
      <c r="P103" s="121">
        <v>50.153750000000002</v>
      </c>
      <c r="Q103" s="3" t="s">
        <v>404</v>
      </c>
      <c r="R103" s="3">
        <v>0.13157240522063401</v>
      </c>
      <c r="S103" s="80">
        <v>7.2121948707876804E-2</v>
      </c>
      <c r="T103" s="80">
        <v>0.11556209117184713</v>
      </c>
      <c r="U103" s="80">
        <v>7.2472981563890704E-2</v>
      </c>
      <c r="V103" s="3">
        <v>0.80591000000000013</v>
      </c>
      <c r="W103" s="3">
        <v>0.80998000000000003</v>
      </c>
      <c r="X103" s="4">
        <v>0.10601652892561983</v>
      </c>
      <c r="Y103" s="4">
        <v>0.16486573799644338</v>
      </c>
      <c r="Z103" s="3">
        <v>0.12128048806249496</v>
      </c>
      <c r="AA103" s="4">
        <v>0.1799842115487148</v>
      </c>
      <c r="AB103" s="4">
        <v>0.16131477543113429</v>
      </c>
      <c r="AC103" s="4">
        <v>0.1938433826755652</v>
      </c>
      <c r="AD103" s="5">
        <v>0.26168118128261558</v>
      </c>
      <c r="AE103" s="5">
        <v>0.26168118128261558</v>
      </c>
      <c r="AF103" s="6">
        <v>2.1446546297742257</v>
      </c>
      <c r="AG103" s="6">
        <v>2.2488885328925616</v>
      </c>
      <c r="AH103" s="6">
        <v>2.0969185905394188</v>
      </c>
      <c r="AI103" s="7">
        <v>0.29736504187663432</v>
      </c>
      <c r="AJ103" s="6">
        <v>13.740084954429546</v>
      </c>
      <c r="AK103" s="6">
        <v>18.201097788033842</v>
      </c>
      <c r="AL103" s="6">
        <v>12.008098163364368</v>
      </c>
      <c r="AM103" s="6">
        <v>1.9051183725057781</v>
      </c>
      <c r="AN103" s="6">
        <v>10.851252896543127</v>
      </c>
      <c r="AO103" s="6" t="s">
        <v>293</v>
      </c>
      <c r="AP103" s="6" t="s">
        <v>297</v>
      </c>
      <c r="AQ103" s="6"/>
      <c r="AR103" s="6"/>
      <c r="AS103" s="119" t="s">
        <v>396</v>
      </c>
    </row>
    <row r="104" spans="1:45" s="122" customFormat="1" ht="12.75" x14ac:dyDescent="0.2">
      <c r="A104" s="119" t="s">
        <v>61</v>
      </c>
      <c r="B104" s="119" t="s">
        <v>194</v>
      </c>
      <c r="C104" s="119">
        <v>10.207000000000001</v>
      </c>
      <c r="D104" s="129"/>
      <c r="E104" s="120">
        <v>1644.421333298</v>
      </c>
      <c r="F104" s="129"/>
      <c r="G104" s="120">
        <v>1546.806333298</v>
      </c>
      <c r="H104" s="120">
        <v>733.32399999999996</v>
      </c>
      <c r="I104" s="121">
        <v>804.51470588235293</v>
      </c>
      <c r="J104" s="121">
        <v>656.84900000000005</v>
      </c>
      <c r="K104" s="121">
        <v>751.6</v>
      </c>
      <c r="L104" s="121">
        <v>831.7619047619047</v>
      </c>
      <c r="M104" s="121">
        <v>159.69900000000001</v>
      </c>
      <c r="N104" s="121">
        <v>152.64699999999999</v>
      </c>
      <c r="O104" s="121">
        <v>175.10400000000001</v>
      </c>
      <c r="P104" s="121">
        <v>264.51249999999999</v>
      </c>
      <c r="Q104" s="3" t="s">
        <v>404</v>
      </c>
      <c r="R104" s="3">
        <v>0.14858432569671642</v>
      </c>
      <c r="S104" s="80">
        <v>9.7079470851019423E-2</v>
      </c>
      <c r="T104" s="80">
        <v>0.1442508095467907</v>
      </c>
      <c r="U104" s="80">
        <v>0.10665500899668001</v>
      </c>
      <c r="V104" s="3">
        <v>0.81858000000000009</v>
      </c>
      <c r="W104" s="3">
        <v>0.81633999999999995</v>
      </c>
      <c r="X104" s="4">
        <v>0.24634779137839274</v>
      </c>
      <c r="Y104" s="4">
        <v>0.22409297532489839</v>
      </c>
      <c r="Z104" s="3">
        <v>0.19163698447071142</v>
      </c>
      <c r="AA104" s="4">
        <v>0.21919729335279289</v>
      </c>
      <c r="AB104" s="4">
        <v>0.18621944391345671</v>
      </c>
      <c r="AC104" s="4">
        <v>0.21282344597778199</v>
      </c>
      <c r="AD104" s="5">
        <v>0.32441729260051883</v>
      </c>
      <c r="AE104" s="5">
        <v>0.32441729260051883</v>
      </c>
      <c r="AF104" s="6">
        <v>1.9226576245135725</v>
      </c>
      <c r="AG104" s="6">
        <v>2.0580180059845663</v>
      </c>
      <c r="AH104" s="6">
        <v>1.8596744145679283</v>
      </c>
      <c r="AI104" s="7">
        <v>0.19804986653296977</v>
      </c>
      <c r="AJ104" s="6">
        <v>9.6857609208448388</v>
      </c>
      <c r="AK104" s="6">
        <v>10.133224585468435</v>
      </c>
      <c r="AL104" s="6">
        <v>8.8336436249200467</v>
      </c>
      <c r="AM104" s="6">
        <v>0.99771463893832391</v>
      </c>
      <c r="AN104" s="6">
        <v>5.8477627079930068</v>
      </c>
      <c r="AO104" s="6" t="s">
        <v>293</v>
      </c>
      <c r="AP104" s="6" t="s">
        <v>297</v>
      </c>
      <c r="AQ104" s="6"/>
      <c r="AR104" s="6" t="s">
        <v>349</v>
      </c>
      <c r="AS104" s="119" t="s">
        <v>396</v>
      </c>
    </row>
    <row r="105" spans="1:45" s="122" customFormat="1" ht="12.75" x14ac:dyDescent="0.2">
      <c r="A105" s="119" t="s">
        <v>58</v>
      </c>
      <c r="B105" s="119" t="s">
        <v>191</v>
      </c>
      <c r="C105" s="119">
        <v>48.28</v>
      </c>
      <c r="D105" s="129"/>
      <c r="E105" s="120">
        <v>2408.1909504000005</v>
      </c>
      <c r="F105" s="129"/>
      <c r="G105" s="120">
        <v>2464.9489504000003</v>
      </c>
      <c r="H105" s="120">
        <v>991.77</v>
      </c>
      <c r="I105" s="121">
        <v>1029.5714285714287</v>
      </c>
      <c r="J105" s="121">
        <v>939.827</v>
      </c>
      <c r="K105" s="121">
        <v>1000.1666666666666</v>
      </c>
      <c r="L105" s="121">
        <v>1041.1428571428571</v>
      </c>
      <c r="M105" s="121">
        <v>174.911</v>
      </c>
      <c r="N105" s="121">
        <v>158.054</v>
      </c>
      <c r="O105" s="121">
        <v>201.18</v>
      </c>
      <c r="P105" s="121">
        <v>207.30238095238093</v>
      </c>
      <c r="Q105" s="3" t="s">
        <v>404</v>
      </c>
      <c r="R105" s="3">
        <v>7.3548641299641518E-2</v>
      </c>
      <c r="S105" s="80">
        <v>3.811511597591033E-2</v>
      </c>
      <c r="T105" s="80">
        <v>6.4202950826765637E-2</v>
      </c>
      <c r="U105" s="80">
        <v>4.0969362249148933E-2</v>
      </c>
      <c r="V105" s="3">
        <v>0.66415999999999997</v>
      </c>
      <c r="W105" s="3">
        <v>0.66590000000000005</v>
      </c>
      <c r="X105" s="4">
        <v>0.13977670388268623</v>
      </c>
      <c r="Y105" s="4">
        <v>0.14637760702524699</v>
      </c>
      <c r="Z105" s="3">
        <v>0.15726630166268388</v>
      </c>
      <c r="AA105" s="4">
        <v>0.20994429109159349</v>
      </c>
      <c r="AB105" s="4">
        <v>0.19295460309409079</v>
      </c>
      <c r="AC105" s="4">
        <v>0.19982970441552131</v>
      </c>
      <c r="AD105" s="5">
        <v>0.23547361885083989</v>
      </c>
      <c r="AE105" s="5">
        <v>0.23547361885083989</v>
      </c>
      <c r="AF105" s="6">
        <v>2.3941504999028722</v>
      </c>
      <c r="AG105" s="6">
        <v>2.4645381940343278</v>
      </c>
      <c r="AH105" s="6">
        <v>2.3675415275521408</v>
      </c>
      <c r="AI105" s="7">
        <v>0.62813674800728214</v>
      </c>
      <c r="AJ105" s="6">
        <v>14.092589662171049</v>
      </c>
      <c r="AK105" s="6">
        <v>15.595612577979679</v>
      </c>
      <c r="AL105" s="6">
        <v>12.252455265931008</v>
      </c>
      <c r="AM105" s="6">
        <v>3.6973755166002653</v>
      </c>
      <c r="AN105" s="6">
        <v>11.890596427670648</v>
      </c>
      <c r="AO105" s="6" t="s">
        <v>293</v>
      </c>
      <c r="AP105" s="6" t="s">
        <v>297</v>
      </c>
      <c r="AQ105" s="6"/>
      <c r="AR105" s="6"/>
      <c r="AS105" s="119" t="s">
        <v>397</v>
      </c>
    </row>
    <row r="106" spans="1:45" s="122" customFormat="1" ht="12.75" x14ac:dyDescent="0.2">
      <c r="A106" s="119" t="s">
        <v>130</v>
      </c>
      <c r="B106" s="119" t="s">
        <v>263</v>
      </c>
      <c r="C106" s="119">
        <v>14.94</v>
      </c>
      <c r="D106" s="125">
        <v>100.77718323354037</v>
      </c>
      <c r="E106" s="124">
        <v>1505.611117509093</v>
      </c>
      <c r="F106" s="125">
        <v>145.74800000000005</v>
      </c>
      <c r="G106" s="124">
        <v>1359.8631175090929</v>
      </c>
      <c r="H106" s="120">
        <v>483.608</v>
      </c>
      <c r="I106" s="121">
        <v>511.22500000000002</v>
      </c>
      <c r="J106" s="121">
        <v>467.49900000000002</v>
      </c>
      <c r="K106" s="121">
        <v>493.66845652173913</v>
      </c>
      <c r="L106" s="121">
        <v>526.86304347826092</v>
      </c>
      <c r="M106" s="121">
        <v>120.71000000000001</v>
      </c>
      <c r="N106" s="121">
        <v>118.50466666666667</v>
      </c>
      <c r="O106" s="121">
        <v>128.83199999999999</v>
      </c>
      <c r="P106" s="121">
        <v>125.85714285714283</v>
      </c>
      <c r="Q106" s="3" t="s">
        <v>404</v>
      </c>
      <c r="R106" s="3">
        <v>8.20326483854803E-2</v>
      </c>
      <c r="S106" s="80">
        <v>5.7106168632446108E-2</v>
      </c>
      <c r="T106" s="80">
        <v>5.5977566843435245E-2</v>
      </c>
      <c r="U106" s="80">
        <v>6.724064808677932E-2</v>
      </c>
      <c r="V106" s="3">
        <v>0.85949750000000014</v>
      </c>
      <c r="W106" s="3">
        <v>0.85651083333333344</v>
      </c>
      <c r="X106" s="4">
        <v>0.21703972625998319</v>
      </c>
      <c r="Y106" s="4">
        <v>0.2305880718664339</v>
      </c>
      <c r="Z106" s="3">
        <v>0.23027327918479426</v>
      </c>
      <c r="AA106" s="88">
        <v>0.10594475513074705</v>
      </c>
      <c r="AB106" s="88">
        <v>2.9037530243136156</v>
      </c>
      <c r="AC106" s="88">
        <v>2.9528475980489186</v>
      </c>
      <c r="AD106" s="89">
        <v>2.7337090395895309</v>
      </c>
      <c r="AE106" s="89">
        <v>0.48898419187567405</v>
      </c>
      <c r="AF106" s="6">
        <v>2.6600090322443011</v>
      </c>
      <c r="AG106" s="6">
        <v>2.7546080766236076</v>
      </c>
      <c r="AH106" s="6">
        <v>2.5810561859330767</v>
      </c>
      <c r="AI106" s="7">
        <v>0.46580064745106348</v>
      </c>
      <c r="AJ106" s="6">
        <v>11.265538211491117</v>
      </c>
      <c r="AK106" s="6">
        <v>11.475186216372011</v>
      </c>
      <c r="AL106" s="6">
        <v>10.55532101891683</v>
      </c>
      <c r="AM106" s="6">
        <v>1.9727357799119372</v>
      </c>
      <c r="AN106" s="6">
        <v>10.804814781570547</v>
      </c>
      <c r="AO106" s="6" t="s">
        <v>295</v>
      </c>
      <c r="AP106" s="6" t="s">
        <v>298</v>
      </c>
      <c r="AQ106" s="6"/>
      <c r="AR106" s="6" t="s">
        <v>344</v>
      </c>
      <c r="AS106" s="119" t="s">
        <v>397</v>
      </c>
    </row>
    <row r="107" spans="1:45" s="122" customFormat="1" ht="12.75" x14ac:dyDescent="0.2">
      <c r="A107" s="119" t="s">
        <v>84</v>
      </c>
      <c r="B107" s="119" t="s">
        <v>216</v>
      </c>
      <c r="C107" s="119">
        <v>5.95</v>
      </c>
      <c r="D107" s="129"/>
      <c r="E107" s="120">
        <v>464.25325415000003</v>
      </c>
      <c r="F107" s="129"/>
      <c r="G107" s="120">
        <v>437.00925415</v>
      </c>
      <c r="H107" s="120">
        <v>229.79</v>
      </c>
      <c r="I107" s="121">
        <v>265.46666666666664</v>
      </c>
      <c r="J107" s="121">
        <v>204.31399999999999</v>
      </c>
      <c r="K107" s="121">
        <v>238.83333333333334</v>
      </c>
      <c r="L107" s="121">
        <v>274.66666666666669</v>
      </c>
      <c r="M107" s="121">
        <v>27.580000000000002</v>
      </c>
      <c r="N107" s="121">
        <v>20.221</v>
      </c>
      <c r="O107" s="121">
        <v>21.111000000000001</v>
      </c>
      <c r="P107" s="121">
        <v>13.068</v>
      </c>
      <c r="Q107" s="3" t="s">
        <v>404</v>
      </c>
      <c r="R107" s="3">
        <v>0.17337377512931645</v>
      </c>
      <c r="S107" s="80">
        <v>0.15525769905856057</v>
      </c>
      <c r="T107" s="80">
        <v>0.16895236417148785</v>
      </c>
      <c r="U107" s="80">
        <v>0.15003489183531049</v>
      </c>
      <c r="V107" s="3">
        <v>0.72475999999999996</v>
      </c>
      <c r="W107" s="3">
        <v>0.72892000000000001</v>
      </c>
      <c r="X107" s="4">
        <v>1.6191207257501745E-2</v>
      </c>
      <c r="Y107" s="4">
        <v>3.0611650485436889E-2</v>
      </c>
      <c r="Z107" s="3">
        <v>7.1017015535924113E-2</v>
      </c>
      <c r="AA107" s="4">
        <v>5.6252126160276042E-2</v>
      </c>
      <c r="AB107" s="4">
        <v>5.633684245972783E-2</v>
      </c>
      <c r="AC107" s="4">
        <v>8.8612103524349145E-2</v>
      </c>
      <c r="AD107" s="5">
        <v>0.21579192423494159</v>
      </c>
      <c r="AE107" s="5">
        <v>0.21579192423494159</v>
      </c>
      <c r="AF107" s="6">
        <v>1.6461925696258164</v>
      </c>
      <c r="AG107" s="6">
        <v>1.8297665909979064</v>
      </c>
      <c r="AH107" s="6">
        <v>1.5910531097694174</v>
      </c>
      <c r="AI107" s="7">
        <v>0.10602968996757452</v>
      </c>
      <c r="AJ107" s="6">
        <v>15.845150621827409</v>
      </c>
      <c r="AK107" s="6">
        <v>21.611653931556305</v>
      </c>
      <c r="AL107" s="6">
        <v>20.700547304722654</v>
      </c>
      <c r="AM107" s="6">
        <v>1.02057100664946</v>
      </c>
      <c r="AN107" s="6">
        <v>33.441173412151819</v>
      </c>
      <c r="AO107" s="6" t="s">
        <v>294</v>
      </c>
      <c r="AP107" s="6" t="s">
        <v>297</v>
      </c>
      <c r="AQ107" s="6"/>
      <c r="AR107" s="6"/>
      <c r="AS107" s="119" t="s">
        <v>396</v>
      </c>
    </row>
    <row r="108" spans="1:45" s="122" customFormat="1" ht="12.75" x14ac:dyDescent="0.2">
      <c r="A108" s="119" t="s">
        <v>76</v>
      </c>
      <c r="B108" s="119" t="s">
        <v>208</v>
      </c>
      <c r="C108" s="119">
        <v>9.5</v>
      </c>
      <c r="D108" s="129"/>
      <c r="E108" s="120">
        <v>563.81881550000003</v>
      </c>
      <c r="F108" s="129"/>
      <c r="G108" s="120">
        <v>532.50381550000009</v>
      </c>
      <c r="H108" s="120">
        <v>443.75</v>
      </c>
      <c r="I108" s="121">
        <v>494.5454545454545</v>
      </c>
      <c r="J108" s="121">
        <v>405.90800000000002</v>
      </c>
      <c r="K108" s="121">
        <v>455.08333333333331</v>
      </c>
      <c r="L108" s="121">
        <v>508</v>
      </c>
      <c r="M108" s="121">
        <v>35.725000000000001</v>
      </c>
      <c r="N108" s="121">
        <v>35.410000000000004</v>
      </c>
      <c r="O108" s="121">
        <v>51.451000000000001</v>
      </c>
      <c r="P108" s="121">
        <v>58.6</v>
      </c>
      <c r="Q108" s="3" t="s">
        <v>404</v>
      </c>
      <c r="R108" s="3">
        <v>0.13085560216308789</v>
      </c>
      <c r="S108" s="80">
        <v>0.11446862996158758</v>
      </c>
      <c r="T108" s="80">
        <v>0.12114896314764256</v>
      </c>
      <c r="U108" s="80">
        <v>0.11627906976744184</v>
      </c>
      <c r="V108" s="3">
        <v>0.78715000000000002</v>
      </c>
      <c r="W108" s="3">
        <v>0.78918999999999995</v>
      </c>
      <c r="X108" s="4">
        <v>0.10257901483244827</v>
      </c>
      <c r="Y108" s="4">
        <v>0.11354724409448819</v>
      </c>
      <c r="Z108" s="3">
        <v>7.3676619718309855E-2</v>
      </c>
      <c r="AA108" s="4">
        <v>0.10156271924806411</v>
      </c>
      <c r="AB108" s="4">
        <v>9.4444555274048367E-2</v>
      </c>
      <c r="AC108" s="4">
        <v>0.1161605550049554</v>
      </c>
      <c r="AD108" s="5">
        <v>0.20479123164422369</v>
      </c>
      <c r="AE108" s="5">
        <v>0.20479123164422369</v>
      </c>
      <c r="AF108" s="6">
        <v>1.0767540386948533</v>
      </c>
      <c r="AG108" s="6">
        <v>1.1701237476652631</v>
      </c>
      <c r="AH108" s="6">
        <v>1.0482358572834647</v>
      </c>
      <c r="AI108" s="7">
        <v>9.4065425528040439E-2</v>
      </c>
      <c r="AJ108" s="6">
        <v>14.905635143456966</v>
      </c>
      <c r="AK108" s="6">
        <v>15.038232575543633</v>
      </c>
      <c r="AL108" s="6">
        <v>10.34972722590426</v>
      </c>
      <c r="AM108" s="6">
        <v>1.3021589538075955</v>
      </c>
      <c r="AN108" s="6">
        <v>9.0870958276450526</v>
      </c>
      <c r="AO108" s="6" t="s">
        <v>293</v>
      </c>
      <c r="AP108" s="6" t="s">
        <v>297</v>
      </c>
      <c r="AQ108" s="6"/>
      <c r="AR108" s="6"/>
      <c r="AS108" s="119" t="s">
        <v>396</v>
      </c>
    </row>
    <row r="109" spans="1:45" s="122" customFormat="1" ht="12.75" x14ac:dyDescent="0.2">
      <c r="A109" s="119" t="s">
        <v>65</v>
      </c>
      <c r="B109" s="119" t="s">
        <v>198</v>
      </c>
      <c r="C109" s="119">
        <v>43.164999999999999</v>
      </c>
      <c r="D109" s="129"/>
      <c r="E109" s="120">
        <v>2412.3720671249998</v>
      </c>
      <c r="F109" s="129"/>
      <c r="G109" s="120">
        <v>2387.431067125</v>
      </c>
      <c r="H109" s="120">
        <v>564.33100000000002</v>
      </c>
      <c r="I109" s="121">
        <v>612.83333333333337</v>
      </c>
      <c r="J109" s="121">
        <v>542.37900000000002</v>
      </c>
      <c r="K109" s="121">
        <v>577.66666666666663</v>
      </c>
      <c r="L109" s="121">
        <v>617</v>
      </c>
      <c r="M109" s="121">
        <v>84.963000000000008</v>
      </c>
      <c r="N109" s="121">
        <v>88.335000000000008</v>
      </c>
      <c r="O109" s="121">
        <v>105.24300000000001</v>
      </c>
      <c r="P109" s="121">
        <v>112.91666666666664</v>
      </c>
      <c r="Q109" s="3" t="s">
        <v>404</v>
      </c>
      <c r="R109" s="3">
        <v>4.7126451711065734E-2</v>
      </c>
      <c r="S109" s="80">
        <v>8.5946604622700873E-2</v>
      </c>
      <c r="T109" s="80">
        <v>6.5060901448372066E-2</v>
      </c>
      <c r="U109" s="80">
        <v>6.8090017311021489E-2</v>
      </c>
      <c r="V109" s="3">
        <v>0.46270000000000006</v>
      </c>
      <c r="W109" s="3">
        <v>0.45886000000000005</v>
      </c>
      <c r="X109" s="4">
        <v>0.16797403346797463</v>
      </c>
      <c r="Y109" s="4">
        <v>0.17288006482982171</v>
      </c>
      <c r="Z109" s="3">
        <v>0.13740340332180939</v>
      </c>
      <c r="AA109" s="4">
        <v>0.12545647547602959</v>
      </c>
      <c r="AB109" s="4">
        <v>0.16289804469273739</v>
      </c>
      <c r="AC109" s="4">
        <v>0.14550921435499509</v>
      </c>
      <c r="AD109" s="5">
        <v>0.21077256135804781</v>
      </c>
      <c r="AE109" s="5">
        <v>0.21077256135804781</v>
      </c>
      <c r="AF109" s="6">
        <v>3.8957265169295621</v>
      </c>
      <c r="AG109" s="6">
        <v>4.1328870175274091</v>
      </c>
      <c r="AH109" s="6">
        <v>3.8694182611426258</v>
      </c>
      <c r="AI109" s="7">
        <v>0.45327288192843779</v>
      </c>
      <c r="AJ109" s="6">
        <v>28.099655934053644</v>
      </c>
      <c r="AK109" s="6">
        <v>27.027011571008092</v>
      </c>
      <c r="AL109" s="6">
        <v>22.684939303564132</v>
      </c>
      <c r="AM109" s="6">
        <v>3.2694317660841885</v>
      </c>
      <c r="AN109" s="6">
        <v>21.14330096346864</v>
      </c>
      <c r="AO109" s="6" t="s">
        <v>294</v>
      </c>
      <c r="AP109" s="6" t="s">
        <v>297</v>
      </c>
      <c r="AQ109" s="6"/>
      <c r="AR109" s="6"/>
      <c r="AS109" s="119" t="s">
        <v>397</v>
      </c>
    </row>
    <row r="110" spans="1:45" s="122" customFormat="1" ht="12.75" x14ac:dyDescent="0.2">
      <c r="A110" s="119" t="s">
        <v>72</v>
      </c>
      <c r="B110" s="119" t="s">
        <v>205</v>
      </c>
      <c r="C110" s="119">
        <v>6.73</v>
      </c>
      <c r="D110" s="129"/>
      <c r="E110" s="120">
        <v>1004.0061462100001</v>
      </c>
      <c r="F110" s="129"/>
      <c r="G110" s="120">
        <v>751.11914621000005</v>
      </c>
      <c r="H110" s="120">
        <v>428.62700000000001</v>
      </c>
      <c r="I110" s="121">
        <v>494.2</v>
      </c>
      <c r="J110" s="121">
        <v>376.815</v>
      </c>
      <c r="K110" s="121">
        <v>444.66666666666669</v>
      </c>
      <c r="L110" s="121">
        <v>510.83333333333331</v>
      </c>
      <c r="M110" s="121">
        <v>64.983999999999995</v>
      </c>
      <c r="N110" s="121">
        <v>52.058</v>
      </c>
      <c r="O110" s="121">
        <v>62.972999999999999</v>
      </c>
      <c r="P110" s="121">
        <v>66.099999999999994</v>
      </c>
      <c r="Q110" s="3" t="s">
        <v>404</v>
      </c>
      <c r="R110" s="3">
        <v>0.19873198589355279</v>
      </c>
      <c r="S110" s="80">
        <v>0.15298382976340719</v>
      </c>
      <c r="T110" s="80">
        <v>0.18006625709344548</v>
      </c>
      <c r="U110" s="80">
        <v>0.1488005997001498</v>
      </c>
      <c r="V110" s="3">
        <v>0.80657000000000001</v>
      </c>
      <c r="W110" s="3">
        <v>0.81102000000000007</v>
      </c>
      <c r="X110" s="4">
        <v>5.2428035982008993E-2</v>
      </c>
      <c r="Y110" s="4">
        <v>0.11335203915171289</v>
      </c>
      <c r="Z110" s="3">
        <v>9.6811446782400556E-2</v>
      </c>
      <c r="AA110" s="4">
        <v>0.10304042553191491</v>
      </c>
      <c r="AB110" s="4">
        <v>0.1026607100410314</v>
      </c>
      <c r="AC110" s="4">
        <v>0.1233071935134243</v>
      </c>
      <c r="AD110" s="5">
        <v>0.28984617573203059</v>
      </c>
      <c r="AE110" s="5">
        <v>0.28984617573203059</v>
      </c>
      <c r="AF110" s="6">
        <v>1.5198687701537841</v>
      </c>
      <c r="AG110" s="6">
        <v>1.6891734922263868</v>
      </c>
      <c r="AH110" s="6">
        <v>1.4703800578336055</v>
      </c>
      <c r="AI110" s="7">
        <v>9.9348328022922039E-2</v>
      </c>
      <c r="AJ110" s="6">
        <v>11.558524347685585</v>
      </c>
      <c r="AK110" s="6">
        <v>14.428505632371587</v>
      </c>
      <c r="AL110" s="6">
        <v>11.927637975163961</v>
      </c>
      <c r="AM110" s="6">
        <v>0.75553895895802148</v>
      </c>
      <c r="AN110" s="6">
        <v>11.3633758881997</v>
      </c>
      <c r="AO110" s="6" t="s">
        <v>293</v>
      </c>
      <c r="AP110" s="6" t="s">
        <v>297</v>
      </c>
      <c r="AQ110" s="6"/>
      <c r="AR110" s="6"/>
      <c r="AS110" s="119" t="s">
        <v>396</v>
      </c>
    </row>
    <row r="111" spans="1:45" s="122" customFormat="1" ht="12.75" x14ac:dyDescent="0.2">
      <c r="A111" s="119" t="s">
        <v>83</v>
      </c>
      <c r="B111" s="119" t="s">
        <v>215</v>
      </c>
      <c r="C111" s="119">
        <v>23.128</v>
      </c>
      <c r="D111" s="129"/>
      <c r="E111" s="120">
        <v>1117.0310558400001</v>
      </c>
      <c r="F111" s="129"/>
      <c r="G111" s="120">
        <v>1270.7060558400001</v>
      </c>
      <c r="H111" s="120">
        <v>351.68200000000002</v>
      </c>
      <c r="I111" s="121">
        <v>389.58666666666664</v>
      </c>
      <c r="J111" s="121">
        <v>330.37200000000001</v>
      </c>
      <c r="K111" s="121">
        <v>361.33333333333331</v>
      </c>
      <c r="L111" s="121">
        <v>400</v>
      </c>
      <c r="M111" s="121">
        <v>53.746000000000002</v>
      </c>
      <c r="N111" s="121">
        <v>43.87</v>
      </c>
      <c r="O111" s="121">
        <v>59.618000000000002</v>
      </c>
      <c r="P111" s="121">
        <v>54.062666666666665</v>
      </c>
      <c r="Q111" s="3" t="s">
        <v>404</v>
      </c>
      <c r="R111" s="3">
        <v>8.9179805938300452E-2</v>
      </c>
      <c r="S111" s="80">
        <v>0.10778108253099861</v>
      </c>
      <c r="T111" s="80">
        <v>9.3716578079659607E-2</v>
      </c>
      <c r="U111" s="80">
        <v>0.10701107011070121</v>
      </c>
      <c r="V111" s="3">
        <v>0.69342999999999999</v>
      </c>
      <c r="W111" s="3">
        <v>0.69918999999999998</v>
      </c>
      <c r="X111" s="4">
        <v>0.11093081180811808</v>
      </c>
      <c r="Y111" s="4">
        <v>0.13087499999999999</v>
      </c>
      <c r="Z111" s="3">
        <v>0.10988336053593872</v>
      </c>
      <c r="AA111" s="4">
        <v>0.152389835090565</v>
      </c>
      <c r="AB111" s="4">
        <v>0.13255201109570039</v>
      </c>
      <c r="AC111" s="4">
        <v>0.1505872020075282</v>
      </c>
      <c r="AD111" s="5">
        <v>0.23839415030142341</v>
      </c>
      <c r="AE111" s="5">
        <v>0.23839415030142341</v>
      </c>
      <c r="AF111" s="6">
        <v>3.2616774765734631</v>
      </c>
      <c r="AG111" s="6">
        <v>3.5167141766789674</v>
      </c>
      <c r="AH111" s="6">
        <v>3.1767651396000001</v>
      </c>
      <c r="AI111" s="7">
        <v>0.30262058980854839</v>
      </c>
      <c r="AJ111" s="6">
        <v>23.642802363710789</v>
      </c>
      <c r="AK111" s="6">
        <v>28.965262271255988</v>
      </c>
      <c r="AL111" s="6">
        <v>21.314134252071522</v>
      </c>
      <c r="AM111" s="6">
        <v>2.193594813534272</v>
      </c>
      <c r="AN111" s="6">
        <v>23.504317011862778</v>
      </c>
      <c r="AO111" s="6" t="s">
        <v>294</v>
      </c>
      <c r="AP111" s="6" t="s">
        <v>297</v>
      </c>
      <c r="AQ111" s="6"/>
      <c r="AR111" s="6"/>
      <c r="AS111" s="119" t="s">
        <v>396</v>
      </c>
    </row>
    <row r="112" spans="1:45" s="122" customFormat="1" ht="12.75" x14ac:dyDescent="0.2">
      <c r="A112" s="119" t="s">
        <v>69</v>
      </c>
      <c r="B112" s="119" t="s">
        <v>202</v>
      </c>
      <c r="C112" s="119">
        <v>55.06</v>
      </c>
      <c r="D112" s="129"/>
      <c r="E112" s="120">
        <v>2821.6959393599996</v>
      </c>
      <c r="F112" s="129"/>
      <c r="G112" s="120">
        <v>2931.7579393599995</v>
      </c>
      <c r="H112" s="120">
        <v>642.779</v>
      </c>
      <c r="I112" s="121">
        <v>777</v>
      </c>
      <c r="J112" s="121">
        <v>545.529</v>
      </c>
      <c r="K112" s="121">
        <v>677.6</v>
      </c>
      <c r="L112" s="121">
        <v>814.5</v>
      </c>
      <c r="M112" s="121">
        <v>-0.68700000000000006</v>
      </c>
      <c r="N112" s="121">
        <v>-15.897</v>
      </c>
      <c r="O112" s="121">
        <v>7.9009999999999998</v>
      </c>
      <c r="P112" s="121">
        <v>35.147936507936507</v>
      </c>
      <c r="Q112" s="3" t="s">
        <v>404</v>
      </c>
      <c r="R112" s="3">
        <v>0.22404251915723392</v>
      </c>
      <c r="S112" s="80">
        <v>0.20881360467594612</v>
      </c>
      <c r="T112" s="80">
        <v>0.24209712040973086</v>
      </c>
      <c r="U112" s="80">
        <v>0.20203659976387245</v>
      </c>
      <c r="V112" s="3">
        <v>0.39380999999999999</v>
      </c>
      <c r="W112" s="3">
        <v>0.39602000000000004</v>
      </c>
      <c r="X112" s="4">
        <v>-5.7331759149940965E-2</v>
      </c>
      <c r="Y112" s="4">
        <v>-2.6482504604051567E-3</v>
      </c>
      <c r="Z112" s="3">
        <v>-2.1296588718673137E-2</v>
      </c>
      <c r="AA112" s="4">
        <v>-9.7633836143152918E-3</v>
      </c>
      <c r="AB112" s="4">
        <v>-1.912601938759809E-2</v>
      </c>
      <c r="AC112" s="4">
        <v>1.3348653972422851E-2</v>
      </c>
      <c r="AD112" s="5">
        <v>0.16867547245302411</v>
      </c>
      <c r="AE112" s="5">
        <v>0.16867547245302411</v>
      </c>
      <c r="AF112" s="6">
        <v>3.7731762411325604</v>
      </c>
      <c r="AG112" s="6">
        <v>4.3266793674144024</v>
      </c>
      <c r="AH112" s="6">
        <v>3.5994572613382436</v>
      </c>
      <c r="AI112" s="7">
        <v>0.18069590087236326</v>
      </c>
      <c r="AJ112" s="6">
        <v>-4267.4788054730698</v>
      </c>
      <c r="AK112" s="6">
        <v>-184.42208840410137</v>
      </c>
      <c r="AL112" s="6">
        <v>371.06163009239333</v>
      </c>
      <c r="AM112" s="6">
        <v>-204.36785295171211</v>
      </c>
      <c r="AN112" s="6">
        <v>83.411950476751315</v>
      </c>
      <c r="AO112" s="6" t="s">
        <v>294</v>
      </c>
      <c r="AP112" s="6" t="s">
        <v>297</v>
      </c>
      <c r="AQ112" s="6"/>
      <c r="AR112" s="6"/>
      <c r="AS112" s="119" t="s">
        <v>396</v>
      </c>
    </row>
    <row r="113" spans="1:45" s="122" customFormat="1" ht="12.75" x14ac:dyDescent="0.2">
      <c r="A113" s="119" t="s">
        <v>47</v>
      </c>
      <c r="B113" s="119" t="s">
        <v>180</v>
      </c>
      <c r="C113" s="119">
        <v>49.35</v>
      </c>
      <c r="D113" s="129"/>
      <c r="E113" s="120">
        <v>4942.7323060500003</v>
      </c>
      <c r="F113" s="129"/>
      <c r="G113" s="120">
        <v>4549.4823060500003</v>
      </c>
      <c r="H113" s="120">
        <v>1499.8610000000001</v>
      </c>
      <c r="I113" s="121">
        <v>1661.9896480331261</v>
      </c>
      <c r="J113" s="121">
        <v>1462.57</v>
      </c>
      <c r="K113" s="121">
        <v>1538.1330869565218</v>
      </c>
      <c r="L113" s="121">
        <v>1714.7746721877156</v>
      </c>
      <c r="M113" s="121">
        <v>311.38499999999999</v>
      </c>
      <c r="N113" s="121">
        <v>315.97300000000001</v>
      </c>
      <c r="O113" s="121">
        <v>333.37800000000004</v>
      </c>
      <c r="P113" s="121">
        <v>294.31769230769231</v>
      </c>
      <c r="Q113" s="3" t="s">
        <v>404</v>
      </c>
      <c r="R113" s="3">
        <v>0.11626866760243455</v>
      </c>
      <c r="S113" s="80">
        <v>0.10809578223123739</v>
      </c>
      <c r="T113" s="80">
        <v>5.1664595169135019E-2</v>
      </c>
      <c r="U113" s="80">
        <v>0.1148415483218761</v>
      </c>
      <c r="V113" s="3">
        <v>0.84495999999999993</v>
      </c>
      <c r="W113" s="3">
        <v>0.83928999999999998</v>
      </c>
      <c r="X113" s="4">
        <v>0.1584680819019986</v>
      </c>
      <c r="Y113" s="4">
        <v>0.17130355653389523</v>
      </c>
      <c r="Z113" s="3">
        <v>0.20881801713625464</v>
      </c>
      <c r="AA113" s="4">
        <v>0.1789440003635111</v>
      </c>
      <c r="AB113" s="4">
        <v>0.19087581157618461</v>
      </c>
      <c r="AC113" s="4">
        <v>0.19952571732411309</v>
      </c>
      <c r="AD113" s="5">
        <v>0.29255816200400803</v>
      </c>
      <c r="AE113" s="5">
        <v>0.29255816200400803</v>
      </c>
      <c r="AF113" s="6">
        <v>2.7373710248039536</v>
      </c>
      <c r="AG113" s="6">
        <v>2.9577949688683862</v>
      </c>
      <c r="AH113" s="6">
        <v>2.6531079446407699</v>
      </c>
      <c r="AI113" s="7">
        <v>0.25323569230001935</v>
      </c>
      <c r="AJ113" s="6">
        <v>14.610473548982771</v>
      </c>
      <c r="AK113" s="6">
        <v>14.398326141948838</v>
      </c>
      <c r="AL113" s="6">
        <v>13.646618271301644</v>
      </c>
      <c r="AM113" s="6">
        <v>1.3516229077031141</v>
      </c>
      <c r="AN113" s="6">
        <v>15.457726208636403</v>
      </c>
      <c r="AO113" s="6" t="s">
        <v>293</v>
      </c>
      <c r="AP113" s="6" t="s">
        <v>297</v>
      </c>
      <c r="AQ113" s="6"/>
      <c r="AR113" s="6"/>
      <c r="AS113" s="119" t="s">
        <v>396</v>
      </c>
    </row>
    <row r="114" spans="1:45" s="122" customFormat="1" ht="12.75" x14ac:dyDescent="0.2">
      <c r="A114" s="119" t="s">
        <v>129</v>
      </c>
      <c r="B114" s="119" t="s">
        <v>262</v>
      </c>
      <c r="C114" s="119">
        <v>13.47</v>
      </c>
      <c r="D114" s="129"/>
      <c r="E114" s="120">
        <v>882.02605272000017</v>
      </c>
      <c r="F114" s="129"/>
      <c r="G114" s="120">
        <v>1445.6830527200004</v>
      </c>
      <c r="H114" s="120">
        <v>858.66700000000003</v>
      </c>
      <c r="I114" s="121">
        <v>865.26482213438737</v>
      </c>
      <c r="J114" s="121">
        <v>844.00699999999995</v>
      </c>
      <c r="K114" s="121">
        <v>857.28</v>
      </c>
      <c r="L114" s="121">
        <v>870.36</v>
      </c>
      <c r="M114" s="121">
        <v>123.36</v>
      </c>
      <c r="N114" s="121">
        <v>129.767</v>
      </c>
      <c r="O114" s="121">
        <v>133.02700000000002</v>
      </c>
      <c r="P114" s="121">
        <v>156.47761904761904</v>
      </c>
      <c r="Q114" s="3" t="s">
        <v>404</v>
      </c>
      <c r="R114" s="3">
        <v>3.0795400797585522E-2</v>
      </c>
      <c r="S114" s="80">
        <v>7.6837960867104371E-3</v>
      </c>
      <c r="T114" s="80">
        <v>1.5726172887191803E-2</v>
      </c>
      <c r="U114" s="80">
        <v>1.525755879059365E-2</v>
      </c>
      <c r="V114" s="3">
        <v>0.73858000000000001</v>
      </c>
      <c r="W114" s="3">
        <v>0.73930000000000007</v>
      </c>
      <c r="X114" s="4">
        <v>0.15614151735722284</v>
      </c>
      <c r="Y114" s="4">
        <v>0.16320028493956523</v>
      </c>
      <c r="Z114" s="3">
        <v>0.19989355594194258</v>
      </c>
      <c r="AA114" s="4">
        <v>0.17073291724830131</v>
      </c>
      <c r="AB114" s="4">
        <v>0.1613086290275593</v>
      </c>
      <c r="AC114" s="4">
        <v>0.1785483957650347</v>
      </c>
      <c r="AD114" s="5">
        <v>0.17963671578105639</v>
      </c>
      <c r="AE114" s="5">
        <v>0.17963671578105639</v>
      </c>
      <c r="AF114" s="6">
        <v>1.6707983680116216</v>
      </c>
      <c r="AG114" s="6">
        <v>1.6863604105076526</v>
      </c>
      <c r="AH114" s="6">
        <v>1.6610173407785289</v>
      </c>
      <c r="AI114" s="7">
        <v>2.1744439195899048</v>
      </c>
      <c r="AJ114" s="6">
        <v>11.719220595979252</v>
      </c>
      <c r="AK114" s="6">
        <v>11.140606261376162</v>
      </c>
      <c r="AL114" s="6">
        <v>10.867591186150182</v>
      </c>
      <c r="AM114" s="6">
        <v>15.2518630943998</v>
      </c>
      <c r="AN114" s="6">
        <v>9.2389126414305434</v>
      </c>
      <c r="AO114" s="6" t="s">
        <v>295</v>
      </c>
      <c r="AP114" s="6" t="s">
        <v>298</v>
      </c>
      <c r="AQ114" s="6"/>
      <c r="AR114" s="6" t="s">
        <v>339</v>
      </c>
      <c r="AS114" s="119" t="s">
        <v>397</v>
      </c>
    </row>
    <row r="115" spans="1:45" s="122" customFormat="1" ht="12.75" x14ac:dyDescent="0.2">
      <c r="A115" s="119" t="s">
        <v>71</v>
      </c>
      <c r="B115" s="119" t="s">
        <v>204</v>
      </c>
      <c r="C115" s="119">
        <v>10.234999999999999</v>
      </c>
      <c r="D115" s="129"/>
      <c r="E115" s="120">
        <v>1717.9911043149998</v>
      </c>
      <c r="F115" s="129"/>
      <c r="G115" s="120">
        <v>1613.5651043149999</v>
      </c>
      <c r="H115" s="120">
        <v>590.66600000000005</v>
      </c>
      <c r="I115" s="121">
        <v>654.07142857142856</v>
      </c>
      <c r="J115" s="121">
        <v>530.101</v>
      </c>
      <c r="K115" s="121">
        <v>603.73333333333335</v>
      </c>
      <c r="L115" s="121">
        <v>673.73333333333335</v>
      </c>
      <c r="M115" s="121">
        <v>189.33</v>
      </c>
      <c r="N115" s="121">
        <v>189.33</v>
      </c>
      <c r="O115" s="121">
        <v>179.92000000000002</v>
      </c>
      <c r="P115" s="121">
        <v>232.28214285714282</v>
      </c>
      <c r="Q115" s="3" t="s">
        <v>404</v>
      </c>
      <c r="R115" s="3">
        <v>0.15509290946851348</v>
      </c>
      <c r="S115" s="80">
        <v>0.10734565485643066</v>
      </c>
      <c r="T115" s="80">
        <v>0.13890246072603785</v>
      </c>
      <c r="U115" s="80">
        <v>0.11594522968197873</v>
      </c>
      <c r="V115" s="3">
        <v>0.77715000000000001</v>
      </c>
      <c r="W115" s="3">
        <v>0.7801300000000001</v>
      </c>
      <c r="X115" s="4">
        <v>0.12716707155477033</v>
      </c>
      <c r="Y115" s="4">
        <v>0.15124678408866021</v>
      </c>
      <c r="Z115" s="3">
        <v>0.27376046699826972</v>
      </c>
      <c r="AA115" s="4">
        <v>0.2653080648046196</v>
      </c>
      <c r="AB115" s="4">
        <v>0.26979542598305067</v>
      </c>
      <c r="AC115" s="4">
        <v>0.26857917768462269</v>
      </c>
      <c r="AD115" s="5">
        <v>0.36961106695810519</v>
      </c>
      <c r="AE115" s="5">
        <v>0.36961106695810519</v>
      </c>
      <c r="AF115" s="6">
        <v>2.4669554942022494</v>
      </c>
      <c r="AG115" s="6">
        <v>2.6726453803804104</v>
      </c>
      <c r="AH115" s="6">
        <v>2.3949610691396197</v>
      </c>
      <c r="AI115" s="7">
        <v>0.22981419206037509</v>
      </c>
      <c r="AJ115" s="6">
        <v>8.5225009471029409</v>
      </c>
      <c r="AK115" s="6">
        <v>8.5225009471029409</v>
      </c>
      <c r="AL115" s="6">
        <v>8.968236462399954</v>
      </c>
      <c r="AM115" s="6">
        <v>0.79393068666834732</v>
      </c>
      <c r="AN115" s="6">
        <v>6.9465740433924266</v>
      </c>
      <c r="AO115" s="6" t="s">
        <v>293</v>
      </c>
      <c r="AP115" s="6" t="s">
        <v>297</v>
      </c>
      <c r="AQ115" s="6"/>
      <c r="AR115" s="6"/>
      <c r="AS115" s="119" t="s">
        <v>396</v>
      </c>
    </row>
    <row r="116" spans="1:45" s="122" customFormat="1" ht="12.75" x14ac:dyDescent="0.2">
      <c r="A116" s="119" t="s">
        <v>57</v>
      </c>
      <c r="B116" s="119" t="s">
        <v>190</v>
      </c>
      <c r="C116" s="119">
        <v>16.89</v>
      </c>
      <c r="D116" s="129"/>
      <c r="E116" s="120">
        <v>4063.5191085300003</v>
      </c>
      <c r="F116" s="129"/>
      <c r="G116" s="120">
        <v>3875.2191085300001</v>
      </c>
      <c r="H116" s="120">
        <v>1224.703</v>
      </c>
      <c r="I116" s="121">
        <v>1455.4166666666667</v>
      </c>
      <c r="J116" s="121">
        <v>1005.754</v>
      </c>
      <c r="K116" s="121">
        <v>1274.9230769230769</v>
      </c>
      <c r="L116" s="121">
        <v>1540</v>
      </c>
      <c r="M116" s="121">
        <v>194.208</v>
      </c>
      <c r="N116" s="121">
        <v>157.417</v>
      </c>
      <c r="O116" s="121">
        <v>207.916</v>
      </c>
      <c r="P116" s="121">
        <v>324.10000000000002</v>
      </c>
      <c r="Q116" s="3" t="s">
        <v>404</v>
      </c>
      <c r="R116" s="3">
        <v>0.35866612084965505</v>
      </c>
      <c r="S116" s="80">
        <v>0.18838336042833803</v>
      </c>
      <c r="T116" s="80">
        <v>0.26762913885808737</v>
      </c>
      <c r="U116" s="80">
        <v>0.20791601303246043</v>
      </c>
      <c r="V116" s="3">
        <v>0.61302000000000001</v>
      </c>
      <c r="W116" s="3">
        <v>0.61912</v>
      </c>
      <c r="X116" s="4">
        <v>0.15912724749607821</v>
      </c>
      <c r="Y116" s="4">
        <v>0.1843435064935065</v>
      </c>
      <c r="Z116" s="3">
        <v>0.13033608964785748</v>
      </c>
      <c r="AA116" s="4">
        <v>0.1179417742879157</v>
      </c>
      <c r="AB116" s="4">
        <v>0.1099415336652927</v>
      </c>
      <c r="AC116" s="4">
        <v>0.12936616643606061</v>
      </c>
      <c r="AD116" s="5">
        <v>0.30674292899346112</v>
      </c>
      <c r="AE116" s="5">
        <v>0.30674292899346112</v>
      </c>
      <c r="AF116" s="6">
        <v>2.6626183396713428</v>
      </c>
      <c r="AG116" s="6">
        <v>3.0395709189628333</v>
      </c>
      <c r="AH116" s="6">
        <v>2.5163760444999999</v>
      </c>
      <c r="AI116" s="7">
        <v>0.14134042059857066</v>
      </c>
      <c r="AJ116" s="6">
        <v>19.953962290585352</v>
      </c>
      <c r="AK116" s="6">
        <v>24.617538820648342</v>
      </c>
      <c r="AL116" s="6">
        <v>18.63838814006618</v>
      </c>
      <c r="AM116" s="6">
        <v>1.0592210609904658</v>
      </c>
      <c r="AN116" s="6">
        <v>11.956862414470843</v>
      </c>
      <c r="AO116" s="6" t="s">
        <v>293</v>
      </c>
      <c r="AP116" s="6" t="s">
        <v>297</v>
      </c>
      <c r="AQ116" s="6"/>
      <c r="AR116" s="6" t="s">
        <v>349</v>
      </c>
      <c r="AS116" s="119" t="s">
        <v>396</v>
      </c>
    </row>
    <row r="117" spans="1:45" s="122" customFormat="1" ht="12.75" x14ac:dyDescent="0.2">
      <c r="A117" s="119" t="s">
        <v>87</v>
      </c>
      <c r="B117" s="119" t="s">
        <v>219</v>
      </c>
      <c r="C117" s="119">
        <v>2.59</v>
      </c>
      <c r="D117" s="129"/>
      <c r="E117" s="120">
        <v>366.87980405999997</v>
      </c>
      <c r="F117" s="119"/>
      <c r="G117" s="120">
        <v>356.35780406000003</v>
      </c>
      <c r="H117" s="120">
        <v>242.27500000000001</v>
      </c>
      <c r="I117" s="121">
        <v>234.45151515151514</v>
      </c>
      <c r="J117" s="121">
        <v>252.202</v>
      </c>
      <c r="K117" s="121">
        <v>239.46153846153845</v>
      </c>
      <c r="L117" s="121">
        <v>234</v>
      </c>
      <c r="M117" s="121">
        <v>40.792999999999999</v>
      </c>
      <c r="N117" s="121">
        <v>37.472000000000001</v>
      </c>
      <c r="O117" s="121">
        <v>46.596000000000004</v>
      </c>
      <c r="P117" s="121">
        <v>66.187878787878788</v>
      </c>
      <c r="Q117" s="3" t="s">
        <v>404</v>
      </c>
      <c r="R117" s="3">
        <v>-5.3043627807352965E-2</v>
      </c>
      <c r="S117" s="80">
        <v>-3.2291754611432744E-2</v>
      </c>
      <c r="T117" s="80">
        <v>-5.0516893357156367E-2</v>
      </c>
      <c r="U117" s="80">
        <v>-2.2807581111467967E-2</v>
      </c>
      <c r="V117" s="3">
        <v>0.81192000000000009</v>
      </c>
      <c r="W117" s="3">
        <v>0.80786000000000002</v>
      </c>
      <c r="X117" s="4">
        <v>0.24194282043045295</v>
      </c>
      <c r="Y117" s="4">
        <v>0.23594017094017095</v>
      </c>
      <c r="Z117" s="3">
        <v>0.14863687957899085</v>
      </c>
      <c r="AA117" s="4">
        <v>0.23832168422830841</v>
      </c>
      <c r="AB117" s="4">
        <v>0.16578059071729959</v>
      </c>
      <c r="AC117" s="4">
        <v>0.28754114282630983</v>
      </c>
      <c r="AD117" s="5">
        <v>0.18287686870633341</v>
      </c>
      <c r="AE117" s="5">
        <v>0.18287686870633341</v>
      </c>
      <c r="AF117" s="6">
        <v>1.519963749561194</v>
      </c>
      <c r="AG117" s="6">
        <v>1.4881630108512691</v>
      </c>
      <c r="AH117" s="6">
        <v>1.5228965985470087</v>
      </c>
      <c r="AI117" s="7">
        <v>-0.47069716955642227</v>
      </c>
      <c r="AJ117" s="6">
        <v>8.7357586855587979</v>
      </c>
      <c r="AK117" s="6">
        <v>9.5099755566823241</v>
      </c>
      <c r="AL117" s="6">
        <v>7.6478196424585807</v>
      </c>
      <c r="AM117" s="6">
        <v>-2.7052598382083404</v>
      </c>
      <c r="AN117" s="6">
        <v>5.3840342157220045</v>
      </c>
      <c r="AO117" s="6" t="s">
        <v>294</v>
      </c>
      <c r="AP117" s="6" t="s">
        <v>297</v>
      </c>
      <c r="AQ117" s="6"/>
      <c r="AR117" s="6"/>
      <c r="AS117" s="119" t="s">
        <v>396</v>
      </c>
    </row>
    <row r="118" spans="1:45" s="122" customFormat="1" ht="12.75" x14ac:dyDescent="0.2">
      <c r="A118" s="119" t="s">
        <v>80</v>
      </c>
      <c r="B118" s="119" t="s">
        <v>212</v>
      </c>
      <c r="C118" s="119">
        <v>8.25</v>
      </c>
      <c r="D118" s="129"/>
      <c r="E118" s="120">
        <v>1016.70357525</v>
      </c>
      <c r="F118" s="119"/>
      <c r="G118" s="120">
        <v>1023.11757525</v>
      </c>
      <c r="H118" s="120">
        <v>449.65699999999998</v>
      </c>
      <c r="I118" s="121">
        <v>458</v>
      </c>
      <c r="J118" s="121">
        <v>420.95699999999999</v>
      </c>
      <c r="K118" s="121">
        <v>449.93374999999997</v>
      </c>
      <c r="L118" s="121">
        <v>466.97826086956519</v>
      </c>
      <c r="M118" s="121" t="s">
        <v>402</v>
      </c>
      <c r="N118" s="121" t="s">
        <v>402</v>
      </c>
      <c r="O118" s="121" t="s">
        <v>402</v>
      </c>
      <c r="P118" s="121">
        <v>110.29999999999998</v>
      </c>
      <c r="Q118" s="3" t="s">
        <v>404</v>
      </c>
      <c r="R118" s="3">
        <v>0.13507325544998336</v>
      </c>
      <c r="S118" s="80">
        <v>1.8554142379636041E-2</v>
      </c>
      <c r="T118" s="80">
        <v>6.8835415493744057E-2</v>
      </c>
      <c r="U118" s="80">
        <v>3.7882267932924041E-2</v>
      </c>
      <c r="V118" s="3">
        <v>0.76205833333333328</v>
      </c>
      <c r="W118" s="3">
        <v>0.76675833333333332</v>
      </c>
      <c r="X118" s="4">
        <v>0.17787803945210456</v>
      </c>
      <c r="Y118" s="4">
        <v>0.16153499992241208</v>
      </c>
      <c r="Z118" s="3">
        <v>0.14823521039370005</v>
      </c>
      <c r="AA118" s="4">
        <v>0.1661018390560221</v>
      </c>
      <c r="AB118" s="4">
        <v>0.1574937515529766</v>
      </c>
      <c r="AC118" s="4">
        <v>0.18187211814400411</v>
      </c>
      <c r="AD118" s="5">
        <v>0.24873505346504499</v>
      </c>
      <c r="AE118" s="5">
        <v>0.24873505346504499</v>
      </c>
      <c r="AF118" s="6">
        <v>2.2338811686681224</v>
      </c>
      <c r="AG118" s="6">
        <v>2.2739293846038446</v>
      </c>
      <c r="AH118" s="6">
        <v>2.1909319147851591</v>
      </c>
      <c r="AI118" s="7">
        <v>1.2039797490828257</v>
      </c>
      <c r="AJ118" s="6" t="e">
        <v>#VALUE!</v>
      </c>
      <c r="AK118" s="6" t="e">
        <v>#VALUE!</v>
      </c>
      <c r="AL118" s="6" t="e">
        <v>#VALUE!</v>
      </c>
      <c r="AM118" s="6" t="e">
        <v>#VALUE!</v>
      </c>
      <c r="AN118" s="6">
        <v>9.2757713077969193</v>
      </c>
      <c r="AO118" s="6" t="s">
        <v>293</v>
      </c>
      <c r="AP118" s="6" t="s">
        <v>297</v>
      </c>
      <c r="AQ118" s="6"/>
      <c r="AR118" s="6"/>
      <c r="AS118" s="119" t="s">
        <v>396</v>
      </c>
    </row>
    <row r="119" spans="1:45" s="122" customFormat="1" ht="12.75" x14ac:dyDescent="0.2">
      <c r="A119" s="119" t="s">
        <v>85</v>
      </c>
      <c r="B119" s="119" t="s">
        <v>217</v>
      </c>
      <c r="C119" s="119">
        <v>7.26</v>
      </c>
      <c r="D119" s="129"/>
      <c r="E119" s="120">
        <v>601.34164727999996</v>
      </c>
      <c r="F119" s="119"/>
      <c r="G119" s="120">
        <v>577.20464728000002</v>
      </c>
      <c r="H119" s="120">
        <v>275.42899999999997</v>
      </c>
      <c r="I119" s="121">
        <v>318.01111111111112</v>
      </c>
      <c r="J119" s="121">
        <v>249.91300000000001</v>
      </c>
      <c r="K119" s="121">
        <v>286.5555555555556</v>
      </c>
      <c r="L119" s="121">
        <v>328</v>
      </c>
      <c r="M119" s="121">
        <v>18.068999999999999</v>
      </c>
      <c r="N119" s="121">
        <v>10.882</v>
      </c>
      <c r="O119" s="121">
        <v>22.903000000000002</v>
      </c>
      <c r="P119" s="121">
        <v>19.010000000000002</v>
      </c>
      <c r="Q119" s="3" t="s">
        <v>404</v>
      </c>
      <c r="R119" s="3">
        <v>0.14247493580995593</v>
      </c>
      <c r="S119" s="80">
        <v>0.1546028599425302</v>
      </c>
      <c r="T119" s="80">
        <v>0.14662124641597507</v>
      </c>
      <c r="U119" s="80">
        <v>0.14462970143466447</v>
      </c>
      <c r="V119" s="3">
        <v>0.80441000000000007</v>
      </c>
      <c r="W119" s="3">
        <v>0.80696000000000001</v>
      </c>
      <c r="X119" s="4">
        <v>3.1756494765412945E-2</v>
      </c>
      <c r="Y119" s="4">
        <v>5.8975609756097565E-2</v>
      </c>
      <c r="Z119" s="3">
        <v>0.11501602557690077</v>
      </c>
      <c r="AA119" s="4">
        <v>4.5994190136696721E-2</v>
      </c>
      <c r="AB119" s="4">
        <v>3.6995386490554699E-2</v>
      </c>
      <c r="AC119" s="4">
        <v>7.2553029221144233E-2</v>
      </c>
      <c r="AD119" s="5">
        <v>0.19739060434035691</v>
      </c>
      <c r="AE119" s="5">
        <v>0.19739060434035691</v>
      </c>
      <c r="AF119" s="6">
        <v>1.8150455349288983</v>
      </c>
      <c r="AG119" s="6">
        <v>2.0142853142768513</v>
      </c>
      <c r="AH119" s="6">
        <v>1.7597702660975609</v>
      </c>
      <c r="AI119" s="7">
        <v>0.11740051481606464</v>
      </c>
      <c r="AJ119" s="6">
        <v>31.944471043223203</v>
      </c>
      <c r="AK119" s="6">
        <v>53.042147333210814</v>
      </c>
      <c r="AL119" s="6">
        <v>25.202141522071344</v>
      </c>
      <c r="AM119" s="6">
        <v>2.0662276917191424</v>
      </c>
      <c r="AN119" s="6">
        <v>30.363211324566016</v>
      </c>
      <c r="AO119" s="6" t="s">
        <v>294</v>
      </c>
      <c r="AP119" s="6" t="s">
        <v>297</v>
      </c>
      <c r="AQ119" s="6"/>
      <c r="AR119" s="6"/>
      <c r="AS119" s="119" t="s">
        <v>396</v>
      </c>
    </row>
    <row r="120" spans="1:45" s="122" customFormat="1" ht="12.75" x14ac:dyDescent="0.2">
      <c r="A120" s="119" t="s">
        <v>74</v>
      </c>
      <c r="B120" s="119" t="s">
        <v>207</v>
      </c>
      <c r="C120" s="119">
        <v>12.865</v>
      </c>
      <c r="D120" s="129"/>
      <c r="E120" s="120">
        <v>1713.9068578450001</v>
      </c>
      <c r="F120" s="119"/>
      <c r="G120" s="120">
        <v>1585.2108578450002</v>
      </c>
      <c r="H120" s="120">
        <v>690.59</v>
      </c>
      <c r="I120" s="121">
        <v>757.57777777777778</v>
      </c>
      <c r="J120" s="121">
        <v>627.399</v>
      </c>
      <c r="K120" s="121">
        <v>707.5454545454545</v>
      </c>
      <c r="L120" s="121">
        <v>773.90909090909088</v>
      </c>
      <c r="M120" s="121">
        <v>139.09700000000001</v>
      </c>
      <c r="N120" s="121">
        <v>108.821</v>
      </c>
      <c r="O120" s="121">
        <v>155.786</v>
      </c>
      <c r="P120" s="121">
        <v>195.90952380952379</v>
      </c>
      <c r="Q120" s="3" t="s">
        <v>404</v>
      </c>
      <c r="R120" s="3">
        <v>0.12278277269253884</v>
      </c>
      <c r="S120" s="80">
        <v>9.7000793202591584E-2</v>
      </c>
      <c r="T120" s="80">
        <v>0.12774399472338094</v>
      </c>
      <c r="U120" s="80">
        <v>9.3794166773737642E-2</v>
      </c>
      <c r="V120" s="3">
        <v>0.81203000000000003</v>
      </c>
      <c r="W120" s="3">
        <v>0.81542000000000003</v>
      </c>
      <c r="X120" s="4">
        <v>0.22472054477707826</v>
      </c>
      <c r="Y120" s="4">
        <v>0.24253494655233176</v>
      </c>
      <c r="Z120" s="3">
        <v>0.15956935374100406</v>
      </c>
      <c r="AA120" s="4">
        <v>0.1899227319240343</v>
      </c>
      <c r="AB120" s="4">
        <v>0.15197258297258301</v>
      </c>
      <c r="AC120" s="4">
        <v>0.2064610792545295</v>
      </c>
      <c r="AD120" s="5">
        <v>0.29348675539902341</v>
      </c>
      <c r="AE120" s="5">
        <v>0.29348675539902341</v>
      </c>
      <c r="AF120" s="6">
        <v>2.0924727524280606</v>
      </c>
      <c r="AG120" s="6">
        <v>2.2404367771161509</v>
      </c>
      <c r="AH120" s="6">
        <v>2.0483166259009753</v>
      </c>
      <c r="AI120" s="7">
        <v>0.21571707646326296</v>
      </c>
      <c r="AJ120" s="6">
        <v>11.396441748168545</v>
      </c>
      <c r="AK120" s="6">
        <v>14.567141065097731</v>
      </c>
      <c r="AL120" s="6">
        <v>10.175566853536262</v>
      </c>
      <c r="AM120" s="6">
        <v>1.1748812944618339</v>
      </c>
      <c r="AN120" s="6">
        <v>8.0915456636311731</v>
      </c>
      <c r="AO120" s="6" t="s">
        <v>293</v>
      </c>
      <c r="AP120" s="6" t="s">
        <v>297</v>
      </c>
      <c r="AQ120" s="6"/>
      <c r="AR120" s="6"/>
      <c r="AS120" s="119" t="s">
        <v>396</v>
      </c>
    </row>
    <row r="121" spans="1:45" s="122" customFormat="1" ht="12.75" x14ac:dyDescent="0.2">
      <c r="A121" s="119" t="s">
        <v>86</v>
      </c>
      <c r="B121" s="119" t="s">
        <v>218</v>
      </c>
      <c r="C121" s="119">
        <v>11.35</v>
      </c>
      <c r="D121" s="129"/>
      <c r="E121" s="120">
        <v>467.97441509999993</v>
      </c>
      <c r="F121" s="119"/>
      <c r="G121" s="120">
        <v>558.01141509999991</v>
      </c>
      <c r="H121" s="120">
        <v>318.363</v>
      </c>
      <c r="I121" s="121">
        <v>320.51666666666665</v>
      </c>
      <c r="J121" s="121">
        <v>317.04399999999998</v>
      </c>
      <c r="K121" s="121">
        <v>317.93954347826087</v>
      </c>
      <c r="L121" s="121">
        <v>325.40869565217395</v>
      </c>
      <c r="M121" s="121">
        <v>34.294000000000004</v>
      </c>
      <c r="N121" s="121">
        <v>7.9886666666666661</v>
      </c>
      <c r="O121" s="121">
        <v>12.507666666666669</v>
      </c>
      <c r="P121" s="121">
        <v>24.41</v>
      </c>
      <c r="Q121" s="3" t="s">
        <v>404</v>
      </c>
      <c r="R121" s="3">
        <v>-1.8846055991543794E-5</v>
      </c>
      <c r="S121" s="80">
        <v>6.7648145879597443E-3</v>
      </c>
      <c r="T121" s="80">
        <v>2.8246662238076148E-3</v>
      </c>
      <c r="U121" s="80">
        <v>2.3492366165593914E-2</v>
      </c>
      <c r="V121" s="3">
        <v>0.75932558666666683</v>
      </c>
      <c r="W121" s="3">
        <v>0.76418083333333342</v>
      </c>
      <c r="X121" s="4">
        <v>4.348206113471987E-2</v>
      </c>
      <c r="Y121" s="4">
        <v>6.4040493114567179E-2</v>
      </c>
      <c r="Z121" s="3">
        <v>-2.3413524812870845E-2</v>
      </c>
      <c r="AA121" s="4">
        <v>3.8773835080186891E-2</v>
      </c>
      <c r="AB121" s="4">
        <v>2.2549651309815951E-2</v>
      </c>
      <c r="AC121" s="4">
        <v>4.1646189109381122E-2</v>
      </c>
      <c r="AD121" s="5">
        <v>3.7852850509832607E-2</v>
      </c>
      <c r="AE121" s="5">
        <v>3.7852850509832607E-2</v>
      </c>
      <c r="AF121" s="6">
        <v>1.7409747234153188</v>
      </c>
      <c r="AG121" s="6">
        <v>1.75508654568523</v>
      </c>
      <c r="AH121" s="6">
        <v>1.7148017940382658</v>
      </c>
      <c r="AI121" s="7">
        <v>2.5735734524253879</v>
      </c>
      <c r="AJ121" s="6">
        <v>16.271400685251059</v>
      </c>
      <c r="AK121" s="6">
        <v>69.850381594759241</v>
      </c>
      <c r="AL121" s="6">
        <v>44.613550230525263</v>
      </c>
      <c r="AM121" s="6">
        <v>24.052988405937203</v>
      </c>
      <c r="AN121" s="6">
        <v>22.859951458418678</v>
      </c>
      <c r="AO121" s="6" t="s">
        <v>293</v>
      </c>
      <c r="AP121" s="6" t="s">
        <v>297</v>
      </c>
      <c r="AQ121" s="6"/>
      <c r="AR121" s="6"/>
      <c r="AS121" s="119" t="s">
        <v>396</v>
      </c>
    </row>
    <row r="122" spans="1:45" s="122" customFormat="1" ht="12.75" x14ac:dyDescent="0.2">
      <c r="A122" s="119" t="s">
        <v>63</v>
      </c>
      <c r="B122" s="119" t="s">
        <v>196</v>
      </c>
      <c r="C122" s="119">
        <v>18.283799999999999</v>
      </c>
      <c r="D122" s="129"/>
      <c r="E122" s="120">
        <v>1430.0866515575997</v>
      </c>
      <c r="F122" s="119"/>
      <c r="G122" s="120">
        <v>1551.9366515575998</v>
      </c>
      <c r="H122" s="120">
        <v>1127.4659999999999</v>
      </c>
      <c r="I122" s="121">
        <v>1219.8095238095236</v>
      </c>
      <c r="J122" s="121">
        <v>1041.9380000000001</v>
      </c>
      <c r="K122" s="121">
        <v>1147.1818181818182</v>
      </c>
      <c r="L122" s="121">
        <v>1254.3181818181818</v>
      </c>
      <c r="M122" s="121">
        <v>154.03700000000001</v>
      </c>
      <c r="N122" s="121">
        <v>143.56100000000001</v>
      </c>
      <c r="O122" s="121">
        <v>176.93600000000001</v>
      </c>
      <c r="P122" s="121">
        <v>284.96666666666664</v>
      </c>
      <c r="Q122" s="3" t="s">
        <v>404</v>
      </c>
      <c r="R122" s="3">
        <v>0.12483388870044106</v>
      </c>
      <c r="S122" s="80">
        <v>8.1903599584842279E-2</v>
      </c>
      <c r="T122" s="80">
        <v>0.10100775495453496</v>
      </c>
      <c r="U122" s="80">
        <v>9.339091845629599E-2</v>
      </c>
      <c r="V122" s="3">
        <v>0.61970999999999998</v>
      </c>
      <c r="W122" s="3">
        <v>0.62243999999999999</v>
      </c>
      <c r="X122" s="4">
        <v>0.18383223710278151</v>
      </c>
      <c r="Y122" s="4">
        <v>0.19386388838557711</v>
      </c>
      <c r="Z122" s="3">
        <v>0.145851848304073</v>
      </c>
      <c r="AA122" s="4">
        <v>0.13367352185089981</v>
      </c>
      <c r="AB122" s="4">
        <v>0.12837288227604379</v>
      </c>
      <c r="AC122" s="4">
        <v>0.14595986705833461</v>
      </c>
      <c r="AD122" s="5">
        <v>0.21114236571903419</v>
      </c>
      <c r="AE122" s="5">
        <v>0.21114236571903419</v>
      </c>
      <c r="AF122" s="6">
        <v>1.2722778608178327</v>
      </c>
      <c r="AG122" s="6">
        <v>1.3528253559817416</v>
      </c>
      <c r="AH122" s="6">
        <v>1.2372750981796412</v>
      </c>
      <c r="AI122" s="7">
        <v>0.15533845487461218</v>
      </c>
      <c r="AJ122" s="6">
        <v>10.075090085872873</v>
      </c>
      <c r="AK122" s="6">
        <v>10.810294241176919</v>
      </c>
      <c r="AL122" s="6">
        <v>8.7711751794863666</v>
      </c>
      <c r="AM122" s="6">
        <v>1.230115664872127</v>
      </c>
      <c r="AN122" s="6">
        <v>5.4460287222748862</v>
      </c>
      <c r="AO122" s="6" t="s">
        <v>293</v>
      </c>
      <c r="AP122" s="6" t="s">
        <v>297</v>
      </c>
      <c r="AQ122" s="6"/>
      <c r="AR122" s="6"/>
      <c r="AS122" s="119" t="s">
        <v>396</v>
      </c>
    </row>
    <row r="123" spans="1:45" s="122" customFormat="1" ht="12.75" x14ac:dyDescent="0.2">
      <c r="A123" s="119" t="s">
        <v>66</v>
      </c>
      <c r="B123" s="119" t="s">
        <v>199</v>
      </c>
      <c r="C123" s="119">
        <v>9.6</v>
      </c>
      <c r="D123" s="129"/>
      <c r="E123" s="120">
        <v>1701.7944767999998</v>
      </c>
      <c r="F123" s="119"/>
      <c r="G123" s="120">
        <v>1479.3164767999997</v>
      </c>
      <c r="H123" s="120">
        <v>727.48299999999995</v>
      </c>
      <c r="I123" s="121">
        <v>794.90476190476193</v>
      </c>
      <c r="J123" s="121">
        <v>681.88099999999997</v>
      </c>
      <c r="K123" s="121">
        <v>748.77777777777783</v>
      </c>
      <c r="L123" s="121">
        <v>807</v>
      </c>
      <c r="M123" s="121">
        <v>155.25800000000001</v>
      </c>
      <c r="N123" s="121">
        <v>144.22800000000001</v>
      </c>
      <c r="O123" s="121">
        <v>164.251</v>
      </c>
      <c r="P123" s="121">
        <v>191.48392857142855</v>
      </c>
      <c r="Q123" s="3" t="s">
        <v>404</v>
      </c>
      <c r="R123" s="3">
        <v>7.1659217663124469E-2</v>
      </c>
      <c r="S123" s="80">
        <v>9.2678127055562776E-2</v>
      </c>
      <c r="T123" s="80">
        <v>9.8106235219602711E-2</v>
      </c>
      <c r="U123" s="80">
        <v>7.7756343671167683E-2</v>
      </c>
      <c r="V123" s="3">
        <v>0.66064999999999996</v>
      </c>
      <c r="W123" s="3">
        <v>0.67676000000000003</v>
      </c>
      <c r="X123" s="4">
        <v>2.2893307612405399E-2</v>
      </c>
      <c r="Y123" s="4">
        <v>8.9380421313506823E-3</v>
      </c>
      <c r="Z123" s="3">
        <v>0.21416720390717031</v>
      </c>
      <c r="AA123" s="4">
        <v>0.21541130329155431</v>
      </c>
      <c r="AB123" s="4">
        <v>0.2042830295634594</v>
      </c>
      <c r="AC123" s="4">
        <v>0.21776231507072019</v>
      </c>
      <c r="AD123" s="5">
        <v>0.26154449708739891</v>
      </c>
      <c r="AE123" s="5">
        <v>0.26154449708739891</v>
      </c>
      <c r="AF123" s="6">
        <v>1.8609983833223502</v>
      </c>
      <c r="AG123" s="6">
        <v>1.9756415330464454</v>
      </c>
      <c r="AH123" s="6">
        <v>1.833105919206939</v>
      </c>
      <c r="AI123" s="7">
        <v>0.20080232978884399</v>
      </c>
      <c r="AJ123" s="6">
        <v>9.5281175643123035</v>
      </c>
      <c r="AK123" s="6">
        <v>10.256791169537118</v>
      </c>
      <c r="AL123" s="6">
        <v>9.0064381757188663</v>
      </c>
      <c r="AM123" s="6">
        <v>1.0280869787754738</v>
      </c>
      <c r="AN123" s="6">
        <v>7.7255385756730792</v>
      </c>
      <c r="AO123" s="6" t="s">
        <v>294</v>
      </c>
      <c r="AP123" s="6" t="s">
        <v>297</v>
      </c>
      <c r="AQ123" s="6"/>
      <c r="AR123" s="6"/>
      <c r="AS123" s="119" t="s">
        <v>396</v>
      </c>
    </row>
    <row r="124" spans="1:45" s="122" customFormat="1" ht="12.75" x14ac:dyDescent="0.2">
      <c r="A124" s="119" t="s">
        <v>62</v>
      </c>
      <c r="B124" s="119" t="s">
        <v>195</v>
      </c>
      <c r="C124" s="119">
        <v>7.01</v>
      </c>
      <c r="D124" s="129"/>
      <c r="E124" s="120">
        <v>1811.5868203299997</v>
      </c>
      <c r="F124" s="119"/>
      <c r="G124" s="120">
        <v>1385.8078203299997</v>
      </c>
      <c r="H124" s="120">
        <v>820.76800000000003</v>
      </c>
      <c r="I124" s="121">
        <v>856</v>
      </c>
      <c r="J124" s="121">
        <v>796.39400000000001</v>
      </c>
      <c r="K124" s="121">
        <v>835.23113043478259</v>
      </c>
      <c r="L124" s="121">
        <v>875.88800465838506</v>
      </c>
      <c r="M124" s="121">
        <v>95.52</v>
      </c>
      <c r="N124" s="121">
        <v>128.15033333333332</v>
      </c>
      <c r="O124" s="121">
        <v>128.80166666666668</v>
      </c>
      <c r="P124" s="121">
        <v>139.88333333333335</v>
      </c>
      <c r="Q124" s="3" t="s">
        <v>404</v>
      </c>
      <c r="R124" s="3">
        <v>6.0837691192170348E-2</v>
      </c>
      <c r="S124" s="80">
        <v>4.2925650122811687E-2</v>
      </c>
      <c r="T124" s="80">
        <v>4.8766226810827984E-2</v>
      </c>
      <c r="U124" s="80">
        <v>4.8677393289254356E-2</v>
      </c>
      <c r="V124" s="3">
        <v>0.68983249999999996</v>
      </c>
      <c r="W124" s="3">
        <v>0.68815333333333339</v>
      </c>
      <c r="X124" s="4">
        <v>0.15530711033939612</v>
      </c>
      <c r="Y124" s="4">
        <v>0.15734698112127407</v>
      </c>
      <c r="Z124" s="3">
        <v>0.15923500916215058</v>
      </c>
      <c r="AA124" s="4">
        <v>0.13320229328614011</v>
      </c>
      <c r="AB124" s="4">
        <v>0.15868947174022599</v>
      </c>
      <c r="AC124" s="4">
        <v>0.17281804175717549</v>
      </c>
      <c r="AD124" s="5">
        <v>0.1681921529027848</v>
      </c>
      <c r="AE124" s="5">
        <v>0.1681921529027848</v>
      </c>
      <c r="AF124" s="6">
        <v>1.6189343695443921</v>
      </c>
      <c r="AG124" s="6">
        <v>1.6591908153718031</v>
      </c>
      <c r="AH124" s="6">
        <v>1.5821746763965494</v>
      </c>
      <c r="AI124" s="7">
        <v>0.37714847996770418</v>
      </c>
      <c r="AJ124" s="6">
        <v>14.508038320037686</v>
      </c>
      <c r="AK124" s="6">
        <v>10.813922869208298</v>
      </c>
      <c r="AL124" s="6">
        <v>10.759238262936552</v>
      </c>
      <c r="AM124" s="6">
        <v>3.3798063112683709</v>
      </c>
      <c r="AN124" s="6">
        <v>9.9068830239246957</v>
      </c>
      <c r="AO124" s="6" t="s">
        <v>293</v>
      </c>
      <c r="AP124" s="6" t="s">
        <v>297</v>
      </c>
      <c r="AQ124" s="6"/>
      <c r="AR124" s="6" t="s">
        <v>364</v>
      </c>
      <c r="AS124" s="119" t="s">
        <v>396</v>
      </c>
    </row>
    <row r="125" spans="1:45" s="122" customFormat="1" ht="12.75" x14ac:dyDescent="0.2">
      <c r="A125" s="119" t="s">
        <v>131</v>
      </c>
      <c r="B125" s="119" t="s">
        <v>264</v>
      </c>
      <c r="C125" s="119">
        <v>10.2501</v>
      </c>
      <c r="D125" s="129"/>
      <c r="E125" s="120">
        <v>1531.3649399999999</v>
      </c>
      <c r="F125" s="119"/>
      <c r="G125" s="120">
        <v>1597.36094</v>
      </c>
      <c r="H125" s="120">
        <v>591.98500000000001</v>
      </c>
      <c r="I125" s="121">
        <v>654.79999999999995</v>
      </c>
      <c r="J125" s="121">
        <v>543.67600000000004</v>
      </c>
      <c r="K125" s="121">
        <v>612.70000000000005</v>
      </c>
      <c r="L125" s="121">
        <v>667.8</v>
      </c>
      <c r="M125" s="121">
        <v>29.967000000000002</v>
      </c>
      <c r="N125" s="121">
        <v>28.434000000000001</v>
      </c>
      <c r="O125" s="121">
        <v>34.654000000000003</v>
      </c>
      <c r="P125" s="121">
        <v>72.677571428571426</v>
      </c>
      <c r="Q125" s="3" t="s">
        <v>404</v>
      </c>
      <c r="R125" s="3">
        <v>9.4497054766914251E-2</v>
      </c>
      <c r="S125" s="80">
        <v>0.10610910749427771</v>
      </c>
      <c r="T125" s="80">
        <v>0.12695796761306366</v>
      </c>
      <c r="U125" s="80">
        <v>8.9929818834665998E-2</v>
      </c>
      <c r="V125" s="3">
        <v>0.60253999999999996</v>
      </c>
      <c r="W125" s="3">
        <v>0.60929999999999995</v>
      </c>
      <c r="X125" s="4">
        <v>1.8119797617104617E-2</v>
      </c>
      <c r="Y125" s="4">
        <v>3.7900569032644507E-2</v>
      </c>
      <c r="Z125" s="3">
        <v>9.0809733354730249E-2</v>
      </c>
      <c r="AA125" s="4">
        <v>7.213306098628536E-3</v>
      </c>
      <c r="AB125" s="4">
        <v>1.0431837425910249E-2</v>
      </c>
      <c r="AC125" s="4">
        <v>3.2908946951702288E-2</v>
      </c>
      <c r="AD125" s="5">
        <v>6.9010821057019292E-2</v>
      </c>
      <c r="AE125" s="5">
        <v>6.9010821057019292E-2</v>
      </c>
      <c r="AF125" s="6">
        <v>2.4394638668295663</v>
      </c>
      <c r="AG125" s="6">
        <v>2.6070849355312551</v>
      </c>
      <c r="AH125" s="6">
        <v>2.3919750524109018</v>
      </c>
      <c r="AI125" s="7">
        <v>0.22990145939745302</v>
      </c>
      <c r="AJ125" s="6">
        <v>53.30399906563887</v>
      </c>
      <c r="AK125" s="6">
        <v>56.177848350566222</v>
      </c>
      <c r="AL125" s="6">
        <v>46.09456166676285</v>
      </c>
      <c r="AM125" s="6">
        <v>5.0235083796660405</v>
      </c>
      <c r="AN125" s="6">
        <v>21.978733034164598</v>
      </c>
      <c r="AO125" s="6" t="s">
        <v>295</v>
      </c>
      <c r="AP125" s="6" t="s">
        <v>298</v>
      </c>
      <c r="AQ125" s="6"/>
      <c r="AR125" s="6"/>
      <c r="AS125" s="119" t="s">
        <v>397</v>
      </c>
    </row>
    <row r="126" spans="1:45" s="122" customFormat="1" ht="12.75" x14ac:dyDescent="0.2">
      <c r="A126" s="119" t="s">
        <v>88</v>
      </c>
      <c r="B126" s="119" t="s">
        <v>221</v>
      </c>
      <c r="C126" s="119">
        <v>1.5549999999999999</v>
      </c>
      <c r="D126" s="129"/>
      <c r="E126" s="120">
        <v>243.099614135</v>
      </c>
      <c r="F126" s="119"/>
      <c r="G126" s="120">
        <v>206.77461413500001</v>
      </c>
      <c r="H126" s="120">
        <v>180.92099999999999</v>
      </c>
      <c r="I126" s="121">
        <v>179.5333333333333</v>
      </c>
      <c r="J126" s="121">
        <v>178.71700000000001</v>
      </c>
      <c r="K126" s="121">
        <v>181</v>
      </c>
      <c r="L126" s="121">
        <v>183</v>
      </c>
      <c r="M126" s="121">
        <v>14.1</v>
      </c>
      <c r="N126" s="121">
        <v>11.700000000000001</v>
      </c>
      <c r="O126" s="121">
        <v>16.399999999999999</v>
      </c>
      <c r="P126" s="121">
        <v>18.496666666666666</v>
      </c>
      <c r="Q126" s="3" t="s">
        <v>404</v>
      </c>
      <c r="R126" s="3">
        <v>1.8791107306964691E-2</v>
      </c>
      <c r="S126" s="80">
        <v>-7.6700143524891518E-3</v>
      </c>
      <c r="T126" s="80">
        <v>1.2774386320271613E-2</v>
      </c>
      <c r="U126" s="80">
        <v>1.1049723756906049E-2</v>
      </c>
      <c r="V126" s="3">
        <v>0.69700000000000006</v>
      </c>
      <c r="W126" s="3">
        <v>0.71150000000000002</v>
      </c>
      <c r="X126" s="4">
        <v>1.1408839779005524E-2</v>
      </c>
      <c r="Y126" s="4">
        <v>3.2923497267759567E-2</v>
      </c>
      <c r="Z126" s="3">
        <v>8.0543441612637545E-2</v>
      </c>
      <c r="AA126" s="4">
        <v>0.1161855442926399</v>
      </c>
      <c r="AB126" s="4">
        <v>9.2892057026476571E-2</v>
      </c>
      <c r="AC126" s="4">
        <v>0.13081914893617019</v>
      </c>
      <c r="AD126" s="5">
        <v>9.7465787955922201E-2</v>
      </c>
      <c r="AE126" s="5">
        <v>9.7465787955922201E-2</v>
      </c>
      <c r="AF126" s="6">
        <v>1.1517338329093949</v>
      </c>
      <c r="AG126" s="6">
        <v>1.1424011830662983</v>
      </c>
      <c r="AH126" s="6">
        <v>1.1299159242349728</v>
      </c>
      <c r="AI126" s="7">
        <v>-1.5016058379807626</v>
      </c>
      <c r="AJ126" s="6">
        <v>14.66486625070922</v>
      </c>
      <c r="AK126" s="6">
        <v>17.673043943162391</v>
      </c>
      <c r="AL126" s="6">
        <v>12.608208178963416</v>
      </c>
      <c r="AM126" s="6">
        <v>-19.119737691168762</v>
      </c>
      <c r="AN126" s="6">
        <v>11.179020407370698</v>
      </c>
      <c r="AO126" s="6" t="s">
        <v>293</v>
      </c>
      <c r="AP126" s="6" t="s">
        <v>297</v>
      </c>
      <c r="AQ126" s="6"/>
      <c r="AR126" s="6"/>
      <c r="AS126" s="119" t="s">
        <v>396</v>
      </c>
    </row>
    <row r="127" spans="1:45" s="122" customFormat="1" ht="12.75" x14ac:dyDescent="0.2">
      <c r="A127" s="119" t="s">
        <v>60</v>
      </c>
      <c r="B127" s="119" t="s">
        <v>193</v>
      </c>
      <c r="C127" s="119">
        <v>26.34</v>
      </c>
      <c r="D127" s="129"/>
      <c r="E127" s="120">
        <v>2280.1145931000001</v>
      </c>
      <c r="F127" s="119"/>
      <c r="G127" s="120">
        <v>3629.6695930999999</v>
      </c>
      <c r="H127" s="120">
        <v>2485.6210000000001</v>
      </c>
      <c r="I127" s="121">
        <v>2599.6654411764707</v>
      </c>
      <c r="J127" s="121">
        <v>2400.395</v>
      </c>
      <c r="K127" s="121">
        <v>2514.1666666666665</v>
      </c>
      <c r="L127" s="121">
        <v>2626.7777777777778</v>
      </c>
      <c r="M127" s="121">
        <v>525.21100000000001</v>
      </c>
      <c r="N127" s="121">
        <v>527.35300000000007</v>
      </c>
      <c r="O127" s="121">
        <v>546.03899999999999</v>
      </c>
      <c r="P127" s="121">
        <v>692.43636363636358</v>
      </c>
      <c r="Q127" s="3" t="s">
        <v>404</v>
      </c>
      <c r="R127" s="3">
        <v>5.4500893874562334E-2</v>
      </c>
      <c r="S127" s="80">
        <v>4.5881669480773768E-2</v>
      </c>
      <c r="T127" s="80">
        <v>4.7397060344929187E-2</v>
      </c>
      <c r="U127" s="80">
        <v>4.4790630869517178E-2</v>
      </c>
      <c r="V127" s="3">
        <v>0.77319000000000004</v>
      </c>
      <c r="W127" s="3">
        <v>0.77959000000000001</v>
      </c>
      <c r="X127" s="4">
        <v>0.22481484918793504</v>
      </c>
      <c r="Y127" s="4">
        <v>0.23351385305190137</v>
      </c>
      <c r="Z127" s="3">
        <v>0.20755859400930393</v>
      </c>
      <c r="AA127" s="4">
        <v>0.2200296661460979</v>
      </c>
      <c r="AB127" s="4">
        <v>0.2246079522862823</v>
      </c>
      <c r="AC127" s="4">
        <v>0.22700183356808731</v>
      </c>
      <c r="AD127" s="5">
        <v>0.24755858428351291</v>
      </c>
      <c r="AE127" s="5">
        <v>0.24755858428351291</v>
      </c>
      <c r="AF127" s="6">
        <v>1.3962064254919679</v>
      </c>
      <c r="AG127" s="6">
        <v>1.4436869445541929</v>
      </c>
      <c r="AH127" s="6">
        <v>1.3817954544181719</v>
      </c>
      <c r="AI127" s="7">
        <v>0.30430593334818246</v>
      </c>
      <c r="AJ127" s="6">
        <v>6.9108788526896809</v>
      </c>
      <c r="AK127" s="6">
        <v>6.8828082766192651</v>
      </c>
      <c r="AL127" s="6">
        <v>6.6472717023875587</v>
      </c>
      <c r="AM127" s="6">
        <v>1.5062396226853978</v>
      </c>
      <c r="AN127" s="6">
        <v>5.2418818301780279</v>
      </c>
      <c r="AO127" s="6" t="s">
        <v>293</v>
      </c>
      <c r="AP127" s="6" t="s">
        <v>297</v>
      </c>
      <c r="AQ127" s="6"/>
      <c r="AR127" s="6"/>
      <c r="AS127" s="119" t="s">
        <v>396</v>
      </c>
    </row>
    <row r="128" spans="1:45" s="122" customFormat="1" ht="12.75" x14ac:dyDescent="0.2">
      <c r="A128" s="119" t="s">
        <v>127</v>
      </c>
      <c r="B128" s="119" t="s">
        <v>260</v>
      </c>
      <c r="C128" s="119">
        <v>26.204999999999998</v>
      </c>
      <c r="D128" s="129"/>
      <c r="E128" s="120">
        <v>2442.306</v>
      </c>
      <c r="F128" s="119"/>
      <c r="G128" s="120">
        <v>2609.306</v>
      </c>
      <c r="H128" s="120">
        <v>1651</v>
      </c>
      <c r="I128" s="121">
        <v>1631.8</v>
      </c>
      <c r="J128" s="121">
        <v>1750</v>
      </c>
      <c r="K128" s="121">
        <v>1641.4545454545455</v>
      </c>
      <c r="L128" s="121">
        <v>1635</v>
      </c>
      <c r="M128" s="121">
        <v>300.70999999999998</v>
      </c>
      <c r="N128" s="121">
        <v>270.50400000000002</v>
      </c>
      <c r="O128" s="121">
        <v>294.642</v>
      </c>
      <c r="P128" s="121">
        <v>441.78</v>
      </c>
      <c r="Q128" s="3" t="s">
        <v>404</v>
      </c>
      <c r="R128" s="3">
        <v>-8.1757508342602897E-2</v>
      </c>
      <c r="S128" s="80">
        <v>-1.1629315566323517E-2</v>
      </c>
      <c r="T128" s="80">
        <v>-6.2025974025973984E-2</v>
      </c>
      <c r="U128" s="80">
        <v>-3.9322108994240823E-3</v>
      </c>
      <c r="V128" s="3">
        <v>0.60467000000000004</v>
      </c>
      <c r="W128" s="3">
        <v>0.61487000000000003</v>
      </c>
      <c r="X128" s="4">
        <v>0.20554940186087728</v>
      </c>
      <c r="Y128" s="4">
        <v>0.21706422018348626</v>
      </c>
      <c r="Z128" s="3">
        <v>0.17201695941853423</v>
      </c>
      <c r="AA128" s="4">
        <v>0.20645541694138339</v>
      </c>
      <c r="AB128" s="4">
        <v>0.18498218673218669</v>
      </c>
      <c r="AC128" s="4">
        <v>0.20653944954128439</v>
      </c>
      <c r="AD128" s="5">
        <v>0.13076623814033439</v>
      </c>
      <c r="AE128" s="5">
        <v>0.13076623814033439</v>
      </c>
      <c r="AF128" s="6">
        <v>1.5990354210074764</v>
      </c>
      <c r="AG128" s="6">
        <v>1.5896303721754541</v>
      </c>
      <c r="AH128" s="6">
        <v>1.5959058103975536</v>
      </c>
      <c r="AI128" s="7">
        <v>-1.3750038958767323</v>
      </c>
      <c r="AJ128" s="6">
        <v>8.6771507432409969</v>
      </c>
      <c r="AK128" s="6">
        <v>9.6460902611421631</v>
      </c>
      <c r="AL128" s="6">
        <v>8.8558521867215134</v>
      </c>
      <c r="AM128" s="6">
        <v>-7.4614457693181206</v>
      </c>
      <c r="AN128" s="6">
        <v>5.9063470505681561</v>
      </c>
      <c r="AO128" s="6" t="s">
        <v>295</v>
      </c>
      <c r="AP128" s="6" t="s">
        <v>298</v>
      </c>
      <c r="AQ128" s="6"/>
      <c r="AR128" s="6" t="s">
        <v>340</v>
      </c>
      <c r="AS128" s="119" t="s">
        <v>397</v>
      </c>
    </row>
    <row r="129" spans="1:45" s="122" customFormat="1" ht="12.75" x14ac:dyDescent="0.2">
      <c r="A129" s="119" t="s">
        <v>77</v>
      </c>
      <c r="B129" s="119" t="s">
        <v>209</v>
      </c>
      <c r="C129" s="119">
        <v>20.285</v>
      </c>
      <c r="D129" s="129"/>
      <c r="E129" s="120">
        <v>1229.16166385</v>
      </c>
      <c r="F129" s="119"/>
      <c r="G129" s="120">
        <v>1901.86266385</v>
      </c>
      <c r="H129" s="120">
        <v>893.84299999999996</v>
      </c>
      <c r="I129" s="121" t="s">
        <v>402</v>
      </c>
      <c r="J129" s="121">
        <v>909.18600000000004</v>
      </c>
      <c r="K129" s="121" t="s">
        <v>402</v>
      </c>
      <c r="L129" s="121" t="s">
        <v>402</v>
      </c>
      <c r="M129" s="121">
        <v>145.9</v>
      </c>
      <c r="N129" s="121">
        <v>146.09633333333332</v>
      </c>
      <c r="O129" s="121">
        <v>159.00833333333335</v>
      </c>
      <c r="P129" s="121">
        <v>308.60000000000002</v>
      </c>
      <c r="Q129" s="3" t="s">
        <v>404</v>
      </c>
      <c r="R129" s="3">
        <v>-2.3232357450472776E-2</v>
      </c>
      <c r="S129" s="80" t="e">
        <v>#VALUE!</v>
      </c>
      <c r="T129" s="80" t="e">
        <v>#VALUE!</v>
      </c>
      <c r="U129" s="80" t="e">
        <v>#VALUE!</v>
      </c>
      <c r="V129" s="3">
        <v>0.73458333333333325</v>
      </c>
      <c r="W129" s="3">
        <v>0.73225000000000007</v>
      </c>
      <c r="X129" s="4" t="e">
        <v>#VALUE!</v>
      </c>
      <c r="Y129" s="4" t="e">
        <v>#VALUE!</v>
      </c>
      <c r="Z129" s="3">
        <v>0.13959386603687671</v>
      </c>
      <c r="AA129" s="4">
        <v>0.17108530318602261</v>
      </c>
      <c r="AB129" s="4">
        <v>0.16613340087915551</v>
      </c>
      <c r="AC129" s="4">
        <v>0.20614165615137781</v>
      </c>
      <c r="AD129" s="5">
        <v>0.23902991982102489</v>
      </c>
      <c r="AE129" s="5">
        <v>0.23902991982102489</v>
      </c>
      <c r="AF129" s="6" t="e">
        <v>#VALUE!</v>
      </c>
      <c r="AG129" s="6" t="e">
        <v>#VALUE!</v>
      </c>
      <c r="AH129" s="6" t="e">
        <v>#VALUE!</v>
      </c>
      <c r="AI129" s="7" t="e">
        <v>#VALUE!</v>
      </c>
      <c r="AJ129" s="6">
        <v>13.035384947566826</v>
      </c>
      <c r="AK129" s="6">
        <v>13.017867187061507</v>
      </c>
      <c r="AL129" s="6">
        <v>11.960773526649545</v>
      </c>
      <c r="AM129" s="6" t="e">
        <v>#VALUE!</v>
      </c>
      <c r="AN129" s="6">
        <v>6.1628731816267006</v>
      </c>
      <c r="AO129" s="6" t="s">
        <v>293</v>
      </c>
      <c r="AP129" s="6" t="s">
        <v>297</v>
      </c>
      <c r="AQ129" s="6"/>
      <c r="AR129" s="6"/>
      <c r="AS129" s="119" t="s">
        <v>397</v>
      </c>
    </row>
    <row r="130" spans="1:45" s="122" customFormat="1" ht="12.75" x14ac:dyDescent="0.2">
      <c r="A130" s="119" t="s">
        <v>390</v>
      </c>
      <c r="B130" s="119" t="s">
        <v>220</v>
      </c>
      <c r="C130" s="119">
        <v>4.4800000000000004</v>
      </c>
      <c r="D130" s="129"/>
      <c r="E130" s="120">
        <v>364.05979008000003</v>
      </c>
      <c r="F130" s="119"/>
      <c r="G130" s="120">
        <v>387.91879008000001</v>
      </c>
      <c r="H130" s="120">
        <v>339.86</v>
      </c>
      <c r="I130" s="121">
        <v>353.72500000000002</v>
      </c>
      <c r="J130" s="121">
        <v>332.92700000000002</v>
      </c>
      <c r="K130" s="121">
        <v>342.88888888888891</v>
      </c>
      <c r="L130" s="121">
        <v>357.5555555555556</v>
      </c>
      <c r="M130" s="121">
        <v>32.018999999999998</v>
      </c>
      <c r="N130" s="121">
        <v>27.577999999999999</v>
      </c>
      <c r="O130" s="121">
        <v>34.027000000000001</v>
      </c>
      <c r="P130" s="121">
        <v>32.791666666666664</v>
      </c>
      <c r="Q130" s="3" t="s">
        <v>404</v>
      </c>
      <c r="R130" s="3">
        <v>2.9729009113825904E-2</v>
      </c>
      <c r="S130" s="80">
        <v>4.0796210204201655E-2</v>
      </c>
      <c r="T130" s="80">
        <v>2.9922141757469101E-2</v>
      </c>
      <c r="U130" s="80">
        <v>4.2773817239144529E-2</v>
      </c>
      <c r="V130" s="3">
        <v>0.79524000000000006</v>
      </c>
      <c r="W130" s="3">
        <v>0.79070000000000007</v>
      </c>
      <c r="X130" s="4">
        <v>8.029714841218405E-2</v>
      </c>
      <c r="Y130" s="4">
        <v>8.813455562461156E-2</v>
      </c>
      <c r="Z130" s="3">
        <v>9.0157711999058421E-2</v>
      </c>
      <c r="AA130" s="4">
        <v>0.1072173502195282</v>
      </c>
      <c r="AB130" s="4">
        <v>9.1215812296054799E-2</v>
      </c>
      <c r="AC130" s="4">
        <v>0.115586704577576</v>
      </c>
      <c r="AD130" s="5">
        <v>0.12828650435206279</v>
      </c>
      <c r="AE130" s="5">
        <v>0.12828650435206279</v>
      </c>
      <c r="AF130" s="6">
        <v>1.0966677223266661</v>
      </c>
      <c r="AG130" s="6">
        <v>1.1313250520803628</v>
      </c>
      <c r="AH130" s="6">
        <v>1.0849189281292728</v>
      </c>
      <c r="AI130" s="7">
        <v>0.26881607797327184</v>
      </c>
      <c r="AJ130" s="6">
        <v>12.115268749180174</v>
      </c>
      <c r="AK130" s="6">
        <v>14.066240847051999</v>
      </c>
      <c r="AL130" s="6">
        <v>11.400322981162018</v>
      </c>
      <c r="AM130" s="6">
        <v>2.9697044623846964</v>
      </c>
      <c r="AN130" s="6">
        <v>11.829797918576876</v>
      </c>
      <c r="AO130" s="6" t="s">
        <v>293</v>
      </c>
      <c r="AP130" s="6" t="s">
        <v>297</v>
      </c>
      <c r="AQ130" s="6"/>
      <c r="AR130" s="6"/>
      <c r="AS130" s="119" t="s">
        <v>396</v>
      </c>
    </row>
    <row r="131" spans="1:45" s="122" customFormat="1" ht="12.75" x14ac:dyDescent="0.2">
      <c r="A131" s="119" t="s">
        <v>82</v>
      </c>
      <c r="B131" s="119" t="s">
        <v>214</v>
      </c>
      <c r="C131" s="119">
        <v>4.68</v>
      </c>
      <c r="D131" s="129"/>
      <c r="E131" s="120">
        <v>719.74052747999986</v>
      </c>
      <c r="F131" s="119"/>
      <c r="G131" s="120">
        <v>511.5705274799999</v>
      </c>
      <c r="H131" s="120">
        <v>338.83800000000002</v>
      </c>
      <c r="I131" s="121">
        <v>364.25714285714281</v>
      </c>
      <c r="J131" s="121">
        <v>327.51600000000002</v>
      </c>
      <c r="K131" s="121">
        <v>342.42857142857139</v>
      </c>
      <c r="L131" s="121">
        <v>374.71428571428572</v>
      </c>
      <c r="M131" s="121">
        <v>35.728000000000002</v>
      </c>
      <c r="N131" s="121">
        <v>32.433999999999997</v>
      </c>
      <c r="O131" s="121">
        <v>45.765000000000001</v>
      </c>
      <c r="P131" s="121">
        <v>34.364285714285714</v>
      </c>
      <c r="Q131" s="3" t="s">
        <v>404</v>
      </c>
      <c r="R131" s="3">
        <v>6.5354093041389283E-2</v>
      </c>
      <c r="S131" s="80">
        <v>7.5018571875476781E-2</v>
      </c>
      <c r="T131" s="80">
        <v>4.5532344766580524E-2</v>
      </c>
      <c r="U131" s="80">
        <v>9.42845223195663E-2</v>
      </c>
      <c r="V131" s="3">
        <v>0.51707000000000003</v>
      </c>
      <c r="W131" s="3">
        <v>0.52478000000000002</v>
      </c>
      <c r="X131" s="4">
        <v>-2.1318314559866502E-2</v>
      </c>
      <c r="Y131" s="4">
        <v>4.5901639344262293E-2</v>
      </c>
      <c r="Z131" s="3">
        <v>9.7161475395321661E-2</v>
      </c>
      <c r="AA131" s="4">
        <v>8.9291561740219016E-2</v>
      </c>
      <c r="AB131" s="4">
        <v>8.1776016836065862E-2</v>
      </c>
      <c r="AC131" s="4">
        <v>0.1243059084834453</v>
      </c>
      <c r="AD131" s="5">
        <v>0.1240387093736168</v>
      </c>
      <c r="AE131" s="5">
        <v>0.1240387093736168</v>
      </c>
      <c r="AF131" s="6">
        <v>1.4044214026041257</v>
      </c>
      <c r="AG131" s="6">
        <v>1.4939481403254067</v>
      </c>
      <c r="AH131" s="6">
        <v>1.3652282471826149</v>
      </c>
      <c r="AI131" s="7">
        <v>0.18720982917874293</v>
      </c>
      <c r="AJ131" s="6">
        <v>14.318476474473799</v>
      </c>
      <c r="AK131" s="6">
        <v>15.77266225195782</v>
      </c>
      <c r="AL131" s="6">
        <v>11.178204468043262</v>
      </c>
      <c r="AM131" s="6">
        <v>1.9086575652547768</v>
      </c>
      <c r="AN131" s="6">
        <v>14.886691716316772</v>
      </c>
      <c r="AO131" s="6" t="s">
        <v>293</v>
      </c>
      <c r="AP131" s="6" t="s">
        <v>297</v>
      </c>
      <c r="AQ131" s="6"/>
      <c r="AR131" s="6"/>
      <c r="AS131" s="119" t="s">
        <v>396</v>
      </c>
    </row>
    <row r="132" spans="1:45" s="122" customFormat="1" ht="12.75" x14ac:dyDescent="0.2">
      <c r="A132" s="119" t="s">
        <v>132</v>
      </c>
      <c r="B132" s="119" t="s">
        <v>265</v>
      </c>
      <c r="C132" s="119">
        <v>13.96</v>
      </c>
      <c r="D132" s="129"/>
      <c r="E132" s="120">
        <v>426.08127076</v>
      </c>
      <c r="F132" s="119"/>
      <c r="G132" s="120">
        <v>817.71627075999993</v>
      </c>
      <c r="H132" s="120">
        <v>756.11800000000005</v>
      </c>
      <c r="I132" s="121">
        <v>831.5</v>
      </c>
      <c r="J132" s="121">
        <v>748.48699999999997</v>
      </c>
      <c r="K132" s="121">
        <v>754.5</v>
      </c>
      <c r="L132" s="121">
        <v>868.25</v>
      </c>
      <c r="M132" s="121">
        <v>86.948000000000008</v>
      </c>
      <c r="N132" s="121">
        <v>66.125</v>
      </c>
      <c r="O132" s="121">
        <v>90.531999999999996</v>
      </c>
      <c r="P132" s="121">
        <v>92.899999999999991</v>
      </c>
      <c r="Q132" s="3" t="s">
        <v>404</v>
      </c>
      <c r="R132" s="3">
        <v>7.4177728781197355E-2</v>
      </c>
      <c r="S132" s="80">
        <v>9.9696079183407837E-2</v>
      </c>
      <c r="T132" s="80">
        <v>8.0335396606754372E-3</v>
      </c>
      <c r="U132" s="80">
        <v>0.15076209410205443</v>
      </c>
      <c r="V132" s="3">
        <v>0.43517000000000006</v>
      </c>
      <c r="W132" s="3">
        <v>0.43250999999999995</v>
      </c>
      <c r="X132" s="4">
        <v>-1.7643472498343277E-2</v>
      </c>
      <c r="Y132" s="4">
        <v>9.5709761013532974E-3</v>
      </c>
      <c r="Z132" s="3">
        <v>7.3819165791582805E-2</v>
      </c>
      <c r="AA132" s="4">
        <v>0.11479664299548099</v>
      </c>
      <c r="AB132" s="4">
        <v>9.1805851063829796E-2</v>
      </c>
      <c r="AC132" s="4">
        <v>0.10069827183559089</v>
      </c>
      <c r="AD132" s="5">
        <v>0.1425524343818777</v>
      </c>
      <c r="AE132" s="5">
        <v>0.1425524343818777</v>
      </c>
      <c r="AF132" s="6">
        <v>0.98342305563439558</v>
      </c>
      <c r="AG132" s="6">
        <v>1.08378564713055</v>
      </c>
      <c r="AH132" s="6">
        <v>0.94179818112294833</v>
      </c>
      <c r="AI132" s="7">
        <v>9.864209943755381E-2</v>
      </c>
      <c r="AJ132" s="6">
        <v>9.4046587702994877</v>
      </c>
      <c r="AK132" s="6">
        <v>12.366219595614366</v>
      </c>
      <c r="AL132" s="6">
        <v>9.0323451460257136</v>
      </c>
      <c r="AM132" s="6">
        <v>0.94333286196722166</v>
      </c>
      <c r="AN132" s="6">
        <v>8.8021127100107641</v>
      </c>
      <c r="AO132" s="6" t="s">
        <v>295</v>
      </c>
      <c r="AP132" s="6" t="s">
        <v>298</v>
      </c>
      <c r="AQ132" s="6"/>
      <c r="AR132" s="6"/>
      <c r="AS132" s="119" t="s">
        <v>396</v>
      </c>
    </row>
    <row r="133" spans="1:45" s="122" customFormat="1" ht="12.75" x14ac:dyDescent="0.2">
      <c r="A133" s="119" t="s">
        <v>78</v>
      </c>
      <c r="B133" s="119" t="s">
        <v>210</v>
      </c>
      <c r="C133" s="119">
        <v>4.9724000000000004</v>
      </c>
      <c r="D133" s="129"/>
      <c r="E133" s="120">
        <v>727.84382628600008</v>
      </c>
      <c r="F133" s="119"/>
      <c r="G133" s="120">
        <v>400.86582628600007</v>
      </c>
      <c r="H133" s="120">
        <v>795.80100000000004</v>
      </c>
      <c r="I133" s="121">
        <v>798.1</v>
      </c>
      <c r="J133" s="121">
        <v>786.56500000000005</v>
      </c>
      <c r="K133" s="121">
        <v>789.1111111111112</v>
      </c>
      <c r="L133" s="121">
        <v>809.25</v>
      </c>
      <c r="M133" s="121">
        <v>80.260000000000005</v>
      </c>
      <c r="N133" s="121">
        <v>74.927000000000007</v>
      </c>
      <c r="O133" s="121">
        <v>83.855000000000004</v>
      </c>
      <c r="P133" s="121">
        <v>83.590666666666678</v>
      </c>
      <c r="Q133" s="3" t="s">
        <v>404</v>
      </c>
      <c r="R133" s="3">
        <v>2.5294781542140266E-2</v>
      </c>
      <c r="S133" s="80">
        <v>2.888913183069608E-3</v>
      </c>
      <c r="T133" s="80">
        <v>3.2370002620396576E-3</v>
      </c>
      <c r="U133" s="80">
        <v>2.5520980005632188E-2</v>
      </c>
      <c r="V133" s="3">
        <v>0.66317000000000004</v>
      </c>
      <c r="W133" s="3">
        <v>0.68417000000000006</v>
      </c>
      <c r="X133" s="4">
        <v>8.589791607997746E-2</v>
      </c>
      <c r="Y133" s="4">
        <v>8.7488415199258568E-2</v>
      </c>
      <c r="Z133" s="3">
        <v>8.0870720192610962E-2</v>
      </c>
      <c r="AA133" s="4">
        <v>0.1075916759846892</v>
      </c>
      <c r="AB133" s="4">
        <v>8.3561958184599688E-2</v>
      </c>
      <c r="AC133" s="4">
        <v>0.123540159411404</v>
      </c>
      <c r="AD133" s="5">
        <v>0.10226333401767709</v>
      </c>
      <c r="AE133" s="5">
        <v>0.10226333401767709</v>
      </c>
      <c r="AF133" s="6">
        <v>0.50227518642526003</v>
      </c>
      <c r="AG133" s="6">
        <v>0.5079966821422135</v>
      </c>
      <c r="AH133" s="6">
        <v>0.49535474363422932</v>
      </c>
      <c r="AI133" s="7">
        <v>1.7386302550344164</v>
      </c>
      <c r="AJ133" s="6">
        <v>4.9945904097433349</v>
      </c>
      <c r="AK133" s="6">
        <v>5.3500850999773117</v>
      </c>
      <c r="AL133" s="6">
        <v>4.7804642094806518</v>
      </c>
      <c r="AM133" s="6">
        <v>17.288821412197457</v>
      </c>
      <c r="AN133" s="6">
        <v>4.7955811608074272</v>
      </c>
      <c r="AO133" s="6" t="s">
        <v>294</v>
      </c>
      <c r="AP133" s="6" t="s">
        <v>297</v>
      </c>
      <c r="AQ133" s="6"/>
      <c r="AR133" s="6"/>
      <c r="AS133" s="119" t="s">
        <v>396</v>
      </c>
    </row>
    <row r="134" spans="1:45" s="122" customFormat="1" ht="12.75" x14ac:dyDescent="0.2">
      <c r="A134" s="119" t="s">
        <v>68</v>
      </c>
      <c r="B134" s="119" t="s">
        <v>201</v>
      </c>
      <c r="C134" s="119">
        <v>11.46</v>
      </c>
      <c r="D134" s="129"/>
      <c r="E134" s="120">
        <v>1585.8144928800002</v>
      </c>
      <c r="F134" s="119"/>
      <c r="G134" s="120">
        <v>1140.7534928800003</v>
      </c>
      <c r="H134" s="120">
        <v>1157.4580000000001</v>
      </c>
      <c r="I134" s="121">
        <v>1281.9000000000001</v>
      </c>
      <c r="J134" s="121">
        <v>1076.826</v>
      </c>
      <c r="K134" s="121">
        <v>1188.4573333333333</v>
      </c>
      <c r="L134" s="121">
        <v>1321.8575757575757</v>
      </c>
      <c r="M134" s="121">
        <v>47.533000000000001</v>
      </c>
      <c r="N134" s="121">
        <v>71.131</v>
      </c>
      <c r="O134" s="121">
        <v>47.747</v>
      </c>
      <c r="P134" s="121">
        <v>82.172727272727286</v>
      </c>
      <c r="Q134" s="3" t="s">
        <v>404</v>
      </c>
      <c r="R134" s="3">
        <v>0.14239664266312943</v>
      </c>
      <c r="S134" s="80">
        <v>0.10751318838350943</v>
      </c>
      <c r="T134" s="80">
        <v>0.10366701150727531</v>
      </c>
      <c r="U134" s="80">
        <v>0.11224655583561183</v>
      </c>
      <c r="V134" s="3">
        <v>0.42798129749999991</v>
      </c>
      <c r="W134" s="3">
        <v>0.43311749999999999</v>
      </c>
      <c r="X134" s="4">
        <v>-0.57284597511844493</v>
      </c>
      <c r="Y134" s="4">
        <v>-5.641908883962652E-2</v>
      </c>
      <c r="Z134" s="3" t="e">
        <v>#VALUE!</v>
      </c>
      <c r="AA134" s="4">
        <v>2.955608723457718E-3</v>
      </c>
      <c r="AB134" s="4">
        <v>1.1812513209818449E-2</v>
      </c>
      <c r="AC134" s="4">
        <v>2.8566806908225599E-2</v>
      </c>
      <c r="AD134" s="5">
        <v>0.1080004349070752</v>
      </c>
      <c r="AE134" s="5">
        <v>0.1080004349070752</v>
      </c>
      <c r="AF134" s="6">
        <v>0.88989273178875128</v>
      </c>
      <c r="AG134" s="6">
        <v>0.95986070419580372</v>
      </c>
      <c r="AH134" s="6">
        <v>0.86299274127639503</v>
      </c>
      <c r="AI134" s="7">
        <v>8.2770564724991877E-2</v>
      </c>
      <c r="AJ134" s="6">
        <v>23.999189886605102</v>
      </c>
      <c r="AK134" s="6">
        <v>16.037360544347756</v>
      </c>
      <c r="AL134" s="6">
        <v>23.891626549940316</v>
      </c>
      <c r="AM134" s="6">
        <v>2.2322089268711651</v>
      </c>
      <c r="AN134" s="6">
        <v>13.882385686115722</v>
      </c>
      <c r="AO134" s="6" t="s">
        <v>294</v>
      </c>
      <c r="AP134" s="6" t="s">
        <v>297</v>
      </c>
      <c r="AQ134" s="6"/>
      <c r="AR134" s="6"/>
      <c r="AS134" s="119" t="s">
        <v>396</v>
      </c>
    </row>
    <row r="135" spans="1:45" s="122" customFormat="1" ht="12.75" x14ac:dyDescent="0.2">
      <c r="A135" s="119" t="s">
        <v>70</v>
      </c>
      <c r="B135" s="119" t="s">
        <v>203</v>
      </c>
      <c r="C135" s="119">
        <v>43.075000000000003</v>
      </c>
      <c r="D135" s="129"/>
      <c r="E135" s="120">
        <v>1330.7288975000001</v>
      </c>
      <c r="F135" s="119"/>
      <c r="G135" s="120">
        <v>23205.967166091254</v>
      </c>
      <c r="H135" s="120">
        <v>4999.8239999999996</v>
      </c>
      <c r="I135" s="121">
        <v>5841</v>
      </c>
      <c r="J135" s="121">
        <v>4567.4589999999998</v>
      </c>
      <c r="K135" s="121">
        <v>5285.0538555555549</v>
      </c>
      <c r="L135" s="121">
        <v>6145.3388888888885</v>
      </c>
      <c r="M135" s="121">
        <v>708.84199999999998</v>
      </c>
      <c r="N135" s="121">
        <v>684.51733333333334</v>
      </c>
      <c r="O135" s="121">
        <v>749.93866666666668</v>
      </c>
      <c r="P135" s="121">
        <v>2319.333333333333</v>
      </c>
      <c r="Q135" s="3" t="s">
        <v>404</v>
      </c>
      <c r="R135" s="3">
        <v>0.14752320201457078</v>
      </c>
      <c r="S135" s="80">
        <v>0.16824112208749753</v>
      </c>
      <c r="T135" s="80">
        <v>0.15711030040019081</v>
      </c>
      <c r="U135" s="80">
        <v>0.16277696629884231</v>
      </c>
      <c r="V135" s="3">
        <v>0.68594166666666667</v>
      </c>
      <c r="W135" s="3">
        <v>0.68672166666666667</v>
      </c>
      <c r="X135" s="4">
        <v>0.27335394734240986</v>
      </c>
      <c r="Y135" s="4">
        <v>0.26606615131070432</v>
      </c>
      <c r="Z135" s="3">
        <v>0.11787174908556779</v>
      </c>
      <c r="AA135" s="4">
        <v>0.1725009368339169</v>
      </c>
      <c r="AB135" s="4">
        <v>0.13556828451882849</v>
      </c>
      <c r="AC135" s="5">
        <v>0.29250198360823088</v>
      </c>
      <c r="AD135" s="6">
        <v>0</v>
      </c>
      <c r="AE135" s="6">
        <v>3.972944216074517</v>
      </c>
      <c r="AF135" s="6">
        <v>4.3908667348200341</v>
      </c>
      <c r="AG135" s="6">
        <v>3.7761899849085494</v>
      </c>
      <c r="AH135" s="7">
        <v>0.23614584631742405</v>
      </c>
      <c r="AI135" s="6">
        <v>32.7378557789906</v>
      </c>
      <c r="AJ135" s="6">
        <v>33.901211899320671</v>
      </c>
      <c r="AK135" s="6">
        <v>30.943820071629752</v>
      </c>
      <c r="AL135" s="6">
        <v>1.9458890533293371</v>
      </c>
      <c r="AM135" s="6">
        <v>10.005447182850499</v>
      </c>
      <c r="AN135" s="6" t="s">
        <v>294</v>
      </c>
      <c r="AO135" s="6" t="s">
        <v>297</v>
      </c>
      <c r="AP135" s="6"/>
      <c r="AQ135" s="6"/>
      <c r="AR135" s="119" t="s">
        <v>396</v>
      </c>
    </row>
    <row r="136" spans="1:45" s="122" customFormat="1" ht="12.75" x14ac:dyDescent="0.2">
      <c r="A136" s="119" t="s">
        <v>391</v>
      </c>
      <c r="B136" s="119" t="s">
        <v>392</v>
      </c>
      <c r="C136" s="119">
        <v>36.5</v>
      </c>
      <c r="D136" s="129"/>
      <c r="E136" s="120">
        <v>18089.097707000001</v>
      </c>
      <c r="F136" s="119"/>
      <c r="G136" s="120">
        <v>16572.800707000002</v>
      </c>
      <c r="H136" s="120">
        <v>968.95699999999999</v>
      </c>
      <c r="I136" s="121">
        <v>1224.8214285714284</v>
      </c>
      <c r="J136" s="121">
        <v>749.01099999999997</v>
      </c>
      <c r="K136" s="121">
        <v>1045</v>
      </c>
      <c r="L136" s="121">
        <v>1286</v>
      </c>
      <c r="M136" s="121">
        <v>212.667</v>
      </c>
      <c r="N136" s="121">
        <v>283.51</v>
      </c>
      <c r="O136" s="121">
        <v>196.57500000000002</v>
      </c>
      <c r="P136" s="121">
        <v>51.542999999999992</v>
      </c>
      <c r="Q136" s="3" t="s">
        <v>404</v>
      </c>
      <c r="R136" s="3">
        <v>0.43228353672957731</v>
      </c>
      <c r="S136" s="80">
        <v>0.26406169579396033</v>
      </c>
      <c r="T136" s="80">
        <v>0.39517310159663888</v>
      </c>
      <c r="U136" s="80">
        <v>0.23062200956937806</v>
      </c>
      <c r="V136" s="3">
        <v>0.87487999999999999</v>
      </c>
      <c r="W136" s="3">
        <v>0.83169999999999999</v>
      </c>
      <c r="X136" s="4">
        <v>0.10877224880382776</v>
      </c>
      <c r="Y136" s="4">
        <v>8.9288491446345264E-2</v>
      </c>
      <c r="Z136" s="3" t="e">
        <v>#VALUE!</v>
      </c>
      <c r="AA136" s="4">
        <v>0.1725009368339169</v>
      </c>
      <c r="AB136" s="4">
        <v>0.13556828451882849</v>
      </c>
      <c r="AC136" s="5">
        <v>0.29250198360823088</v>
      </c>
      <c r="AD136" s="6">
        <v>0</v>
      </c>
      <c r="AE136" s="6">
        <v>13.530789321941977</v>
      </c>
      <c r="AF136" s="6">
        <v>15.859139432535887</v>
      </c>
      <c r="AG136" s="6">
        <v>12.887092307153967</v>
      </c>
      <c r="AH136" s="7">
        <v>0.51241015025896297</v>
      </c>
      <c r="AI136" s="6">
        <v>77.928407825379594</v>
      </c>
      <c r="AJ136" s="6">
        <v>58.455788885753599</v>
      </c>
      <c r="AK136" s="6">
        <v>84.307774167620508</v>
      </c>
      <c r="AL136" s="6">
        <v>2.9511439586521808</v>
      </c>
      <c r="AM136" s="6">
        <v>321.53349061948285</v>
      </c>
      <c r="AN136" s="6" t="s">
        <v>293</v>
      </c>
      <c r="AO136" s="6" t="s">
        <v>297</v>
      </c>
      <c r="AP136" s="6"/>
      <c r="AQ136" s="6" t="s">
        <v>341</v>
      </c>
      <c r="AR136" s="119" t="s">
        <v>396</v>
      </c>
    </row>
    <row r="137" spans="1:45" s="122" customFormat="1" ht="12.75" x14ac:dyDescent="0.2">
      <c r="A137" s="119"/>
      <c r="B137" s="119"/>
      <c r="C137" s="119"/>
      <c r="D137" s="129"/>
      <c r="E137" s="123"/>
      <c r="F137" s="119"/>
      <c r="G137" s="123"/>
      <c r="H137" s="123"/>
      <c r="I137" s="121"/>
      <c r="J137" s="121"/>
      <c r="K137" s="121"/>
      <c r="L137" s="121"/>
      <c r="M137" s="121"/>
      <c r="N137" s="121"/>
      <c r="O137" s="121"/>
      <c r="P137" s="121"/>
      <c r="Q137" s="127"/>
      <c r="R137" s="127"/>
      <c r="S137" s="80"/>
      <c r="T137" s="80"/>
      <c r="U137" s="3"/>
      <c r="V137" s="3"/>
      <c r="W137" s="3"/>
      <c r="X137" s="4"/>
      <c r="Y137" s="4"/>
      <c r="Z137" s="4"/>
      <c r="AA137" s="4"/>
      <c r="AB137" s="4"/>
      <c r="AC137" s="5"/>
      <c r="AD137" s="5"/>
      <c r="AE137" s="5"/>
      <c r="AF137" s="5"/>
      <c r="AG137" s="5"/>
      <c r="AH137" s="5"/>
      <c r="AI137" s="6"/>
      <c r="AJ137" s="6"/>
      <c r="AK137" s="6"/>
      <c r="AL137" s="7"/>
      <c r="AM137" s="7"/>
      <c r="AN137" s="6"/>
      <c r="AO137" s="6"/>
      <c r="AP137" s="6"/>
      <c r="AQ137" s="6"/>
      <c r="AR137" s="119"/>
    </row>
    <row r="138" spans="1:45" s="122" customFormat="1" ht="12.75" x14ac:dyDescent="0.2">
      <c r="A138" s="119"/>
      <c r="B138" s="119"/>
      <c r="C138" s="119"/>
      <c r="D138" s="129"/>
      <c r="E138" s="123"/>
      <c r="F138" s="119"/>
      <c r="G138" s="123"/>
      <c r="H138" s="123"/>
      <c r="I138" s="121"/>
      <c r="J138" s="121"/>
      <c r="K138" s="121"/>
      <c r="L138" s="121"/>
      <c r="M138" s="121"/>
      <c r="N138" s="121"/>
      <c r="O138" s="121"/>
      <c r="P138" s="121"/>
      <c r="Q138" s="127"/>
      <c r="R138" s="127"/>
      <c r="S138" s="80"/>
      <c r="T138" s="80"/>
      <c r="U138" s="3"/>
      <c r="V138" s="3"/>
      <c r="W138" s="3"/>
      <c r="X138" s="4"/>
      <c r="Y138" s="4"/>
      <c r="Z138" s="4"/>
      <c r="AA138" s="4"/>
      <c r="AB138" s="4"/>
      <c r="AC138" s="5"/>
      <c r="AD138" s="5"/>
      <c r="AE138" s="5"/>
      <c r="AF138" s="5"/>
      <c r="AG138" s="5"/>
      <c r="AH138" s="5"/>
      <c r="AI138" s="6"/>
      <c r="AJ138" s="6"/>
      <c r="AK138" s="6"/>
      <c r="AL138" s="7"/>
      <c r="AM138" s="7"/>
      <c r="AN138" s="6"/>
      <c r="AO138" s="6"/>
      <c r="AP138" s="6"/>
      <c r="AQ138" s="6"/>
      <c r="AR138" s="119"/>
    </row>
    <row r="139" spans="1:45" s="122" customFormat="1" ht="12.75" x14ac:dyDescent="0.2">
      <c r="A139" s="119"/>
      <c r="B139" s="119"/>
      <c r="C139" s="119"/>
      <c r="D139" s="129"/>
      <c r="E139" s="123"/>
      <c r="F139" s="119"/>
      <c r="G139" s="123"/>
      <c r="H139" s="123"/>
      <c r="I139" s="121"/>
      <c r="J139" s="121"/>
      <c r="K139" s="121"/>
      <c r="L139" s="121"/>
      <c r="M139" s="121"/>
      <c r="N139" s="121"/>
      <c r="O139" s="121"/>
      <c r="P139" s="121"/>
      <c r="Q139" s="127"/>
      <c r="R139" s="127"/>
      <c r="S139" s="80"/>
      <c r="T139" s="80"/>
      <c r="U139" s="3"/>
      <c r="V139" s="3"/>
      <c r="W139" s="3"/>
      <c r="X139" s="4"/>
      <c r="Y139" s="4"/>
      <c r="Z139" s="4"/>
      <c r="AA139" s="4"/>
      <c r="AB139" s="4"/>
      <c r="AC139" s="5"/>
      <c r="AD139" s="5"/>
      <c r="AE139" s="5"/>
      <c r="AF139" s="5"/>
      <c r="AG139" s="5"/>
      <c r="AH139" s="5"/>
      <c r="AI139" s="6"/>
      <c r="AJ139" s="6"/>
      <c r="AK139" s="6"/>
      <c r="AL139" s="7"/>
      <c r="AM139" s="7"/>
      <c r="AN139" s="6"/>
      <c r="AO139" s="6"/>
      <c r="AP139" s="6"/>
      <c r="AQ139" s="6"/>
      <c r="AR139" s="119"/>
    </row>
    <row r="140" spans="1:45" s="122" customFormat="1" ht="12.75" x14ac:dyDescent="0.2">
      <c r="A140" s="119"/>
      <c r="B140" s="119"/>
      <c r="C140" s="119"/>
      <c r="D140" s="129"/>
      <c r="E140" s="123"/>
      <c r="F140" s="119"/>
      <c r="G140" s="123"/>
      <c r="H140" s="123"/>
      <c r="I140" s="121"/>
      <c r="J140" s="121"/>
      <c r="K140" s="121"/>
      <c r="L140" s="121"/>
      <c r="M140" s="121"/>
      <c r="N140" s="121"/>
      <c r="O140" s="121"/>
      <c r="P140" s="121"/>
      <c r="Q140" s="127"/>
      <c r="R140" s="127"/>
      <c r="S140" s="80"/>
      <c r="T140" s="80"/>
      <c r="U140" s="3"/>
      <c r="V140" s="3"/>
      <c r="W140" s="3"/>
      <c r="X140" s="4"/>
      <c r="Y140" s="4"/>
      <c r="Z140" s="4"/>
      <c r="AA140" s="4"/>
      <c r="AB140" s="4"/>
      <c r="AC140" s="5"/>
      <c r="AD140" s="5"/>
      <c r="AE140" s="5"/>
      <c r="AF140" s="5"/>
      <c r="AG140" s="5"/>
      <c r="AH140" s="5"/>
      <c r="AI140" s="6"/>
      <c r="AJ140" s="6"/>
      <c r="AK140" s="6"/>
      <c r="AL140" s="7"/>
      <c r="AM140" s="7"/>
      <c r="AN140" s="6"/>
      <c r="AO140" s="6"/>
      <c r="AP140" s="6"/>
      <c r="AQ140" s="6"/>
      <c r="AR140" s="119"/>
    </row>
    <row r="141" spans="1:45" s="122" customFormat="1" ht="12.75" x14ac:dyDescent="0.2">
      <c r="A141" s="119"/>
      <c r="B141" s="119"/>
      <c r="C141" s="119"/>
      <c r="D141" s="119"/>
      <c r="E141" s="123"/>
      <c r="F141" s="119"/>
      <c r="G141" s="123"/>
      <c r="H141" s="123"/>
      <c r="I141" s="121"/>
      <c r="J141" s="121"/>
      <c r="K141" s="121"/>
      <c r="L141" s="121"/>
      <c r="M141" s="121"/>
      <c r="N141" s="121"/>
      <c r="O141" s="121"/>
      <c r="P141" s="121"/>
      <c r="Q141" s="127"/>
      <c r="R141" s="127"/>
      <c r="S141" s="80"/>
      <c r="T141" s="80"/>
      <c r="U141" s="3"/>
      <c r="V141" s="3"/>
      <c r="W141" s="3"/>
      <c r="X141" s="4"/>
      <c r="Y141" s="4"/>
      <c r="Z141" s="4"/>
      <c r="AA141" s="4"/>
      <c r="AB141" s="4"/>
      <c r="AC141" s="5"/>
      <c r="AD141" s="5"/>
      <c r="AE141" s="5"/>
      <c r="AF141" s="5"/>
      <c r="AG141" s="5"/>
      <c r="AH141" s="5"/>
      <c r="AI141" s="6"/>
      <c r="AJ141" s="6"/>
      <c r="AK141" s="6"/>
      <c r="AL141" s="7"/>
      <c r="AM141" s="7"/>
      <c r="AN141" s="6"/>
      <c r="AO141" s="6"/>
      <c r="AP141" s="6"/>
      <c r="AQ141" s="6"/>
      <c r="AR141" s="119"/>
    </row>
    <row r="142" spans="1:45" s="122" customFormat="1" ht="12.75" x14ac:dyDescent="0.2">
      <c r="A142" s="119"/>
      <c r="B142" s="119"/>
      <c r="C142" s="119"/>
      <c r="D142" s="119"/>
      <c r="E142" s="123"/>
      <c r="F142" s="119"/>
      <c r="G142" s="123"/>
      <c r="H142" s="123"/>
      <c r="I142" s="121"/>
      <c r="J142" s="121"/>
      <c r="K142" s="121"/>
      <c r="L142" s="121"/>
      <c r="M142" s="121"/>
      <c r="N142" s="121"/>
      <c r="O142" s="121"/>
      <c r="P142" s="121"/>
      <c r="Q142" s="127"/>
      <c r="R142" s="127"/>
      <c r="S142" s="80"/>
      <c r="T142" s="80"/>
      <c r="U142" s="3"/>
      <c r="V142" s="3"/>
      <c r="W142" s="3"/>
      <c r="X142" s="4"/>
      <c r="Y142" s="4"/>
      <c r="Z142" s="4"/>
      <c r="AA142" s="4"/>
      <c r="AB142" s="4"/>
      <c r="AC142" s="5"/>
      <c r="AD142" s="5"/>
      <c r="AE142" s="5"/>
      <c r="AF142" s="5"/>
      <c r="AG142" s="5"/>
      <c r="AH142" s="5"/>
      <c r="AI142" s="6"/>
      <c r="AJ142" s="6"/>
      <c r="AK142" s="6"/>
      <c r="AL142" s="7"/>
      <c r="AM142" s="7"/>
      <c r="AN142" s="6"/>
      <c r="AO142" s="6"/>
      <c r="AP142" s="6"/>
      <c r="AQ142" s="6"/>
      <c r="AR142" s="119"/>
    </row>
    <row r="143" spans="1:45" s="122" customFormat="1" ht="12.75" x14ac:dyDescent="0.2">
      <c r="A143" s="119"/>
      <c r="B143" s="119"/>
      <c r="C143" s="119"/>
      <c r="D143" s="119"/>
      <c r="E143" s="123"/>
      <c r="F143" s="119"/>
      <c r="G143" s="123"/>
      <c r="H143" s="123"/>
      <c r="I143" s="121"/>
      <c r="J143" s="121"/>
      <c r="K143" s="121"/>
      <c r="L143" s="121"/>
      <c r="M143" s="121"/>
      <c r="N143" s="121"/>
      <c r="O143" s="121"/>
      <c r="P143" s="121"/>
      <c r="Q143" s="127"/>
      <c r="R143" s="127"/>
      <c r="S143" s="80"/>
      <c r="T143" s="80"/>
      <c r="U143" s="3"/>
      <c r="V143" s="3"/>
      <c r="W143" s="3"/>
      <c r="X143" s="4"/>
      <c r="Y143" s="4"/>
      <c r="Z143" s="4"/>
      <c r="AA143" s="4"/>
      <c r="AB143" s="4"/>
      <c r="AC143" s="5"/>
      <c r="AD143" s="5"/>
      <c r="AE143" s="5"/>
      <c r="AF143" s="5"/>
      <c r="AG143" s="5"/>
      <c r="AH143" s="5"/>
      <c r="AI143" s="6"/>
      <c r="AJ143" s="6"/>
      <c r="AK143" s="6"/>
      <c r="AL143" s="7"/>
      <c r="AM143" s="7"/>
      <c r="AN143" s="6"/>
      <c r="AO143" s="6"/>
      <c r="AP143" s="6"/>
      <c r="AQ143" s="6"/>
      <c r="AR143" s="119"/>
    </row>
  </sheetData>
  <autoFilter ref="A2:AR2" xr:uid="{00000000-0001-0000-0000-000000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204"/>
  <sheetViews>
    <sheetView showOutlineSymbols="0" showWhiteSpace="0" zoomScale="170" zoomScaleNormal="170" workbookViewId="0">
      <selection activeCell="B13" sqref="B13"/>
    </sheetView>
  </sheetViews>
  <sheetFormatPr defaultColWidth="8.85546875" defaultRowHeight="15" x14ac:dyDescent="0.25"/>
  <cols>
    <col min="2" max="2" width="22" bestFit="1" customWidth="1"/>
    <col min="3" max="3" width="5" bestFit="1" customWidth="1"/>
    <col min="4" max="4" width="6.140625" bestFit="1" customWidth="1"/>
    <col min="5" max="5" width="21.85546875" customWidth="1"/>
    <col min="6" max="6" width="2.28515625" customWidth="1"/>
    <col min="7" max="7" width="8.85546875" customWidth="1"/>
    <col min="8" max="8" width="32.28515625" hidden="1" customWidth="1"/>
    <col min="10" max="10" width="11.140625" hidden="1" customWidth="1"/>
    <col min="11" max="11" width="13.28515625" bestFit="1" customWidth="1"/>
    <col min="12" max="12" width="10.140625" hidden="1" customWidth="1"/>
    <col min="13" max="13" width="13.28515625" bestFit="1" customWidth="1"/>
    <col min="14" max="14" width="13.28515625" customWidth="1"/>
    <col min="15" max="19" width="13.28515625" hidden="1" customWidth="1"/>
    <col min="20" max="22" width="8.85546875" hidden="1" customWidth="1"/>
    <col min="25" max="25" width="8.85546875" customWidth="1"/>
    <col min="26" max="26" width="8.85546875" hidden="1" customWidth="1"/>
    <col min="27" max="27" width="8.85546875" customWidth="1"/>
    <col min="28" max="28" width="8.85546875" hidden="1" customWidth="1"/>
    <col min="29" max="29" width="8.85546875" customWidth="1"/>
    <col min="30" max="30" width="8.85546875" hidden="1" customWidth="1"/>
    <col min="32" max="33" width="8.85546875" customWidth="1"/>
    <col min="34" max="34" width="0" hidden="1" customWidth="1"/>
    <col min="35" max="35" width="8.85546875" customWidth="1"/>
    <col min="36" max="37" width="11.28515625" bestFit="1" customWidth="1"/>
    <col min="38" max="38" width="10.85546875" bestFit="1" customWidth="1"/>
    <col min="39" max="41" width="10.85546875" customWidth="1"/>
    <col min="42" max="42" width="9.140625" style="85" customWidth="1"/>
    <col min="43" max="43" width="11.28515625" style="85" customWidth="1"/>
    <col min="44" max="44" width="7.42578125" style="85" customWidth="1"/>
    <col min="45" max="45" width="11.140625" style="85" customWidth="1"/>
    <col min="46" max="46" width="8.85546875" style="85" bestFit="1" customWidth="1"/>
    <col min="47" max="47" width="35.28515625" style="85" hidden="1" customWidth="1"/>
    <col min="48" max="51" width="10.85546875" style="85" hidden="1" customWidth="1"/>
  </cols>
  <sheetData>
    <row r="1" spans="1:51" ht="57" thickBot="1" x14ac:dyDescent="0.3">
      <c r="A1" s="78" t="s">
        <v>302</v>
      </c>
      <c r="B1" s="76" t="s">
        <v>299</v>
      </c>
      <c r="C1" s="77" t="s">
        <v>300</v>
      </c>
      <c r="D1" s="77" t="s">
        <v>301</v>
      </c>
      <c r="E1" s="77" t="s">
        <v>332</v>
      </c>
      <c r="G1" s="117" t="s">
        <v>0</v>
      </c>
      <c r="H1" s="117" t="s">
        <v>133</v>
      </c>
      <c r="I1" s="117" t="s">
        <v>373</v>
      </c>
      <c r="J1" s="117" t="s">
        <v>314</v>
      </c>
      <c r="K1" s="117" t="s">
        <v>266</v>
      </c>
      <c r="L1" s="117" t="s">
        <v>370</v>
      </c>
      <c r="M1" s="117" t="s">
        <v>267</v>
      </c>
      <c r="N1" s="117" t="s">
        <v>383</v>
      </c>
      <c r="O1" s="118" t="s">
        <v>268</v>
      </c>
      <c r="P1" s="118" t="s">
        <v>384</v>
      </c>
      <c r="Q1" s="118" t="s">
        <v>371</v>
      </c>
      <c r="R1" s="118" t="s">
        <v>372</v>
      </c>
      <c r="S1" s="118" t="s">
        <v>319</v>
      </c>
      <c r="T1" s="118" t="s">
        <v>385</v>
      </c>
      <c r="U1" s="118" t="s">
        <v>386</v>
      </c>
      <c r="V1" s="118" t="s">
        <v>393</v>
      </c>
      <c r="W1" s="118" t="s">
        <v>269</v>
      </c>
      <c r="X1" s="118" t="s">
        <v>399</v>
      </c>
      <c r="Y1" s="118" t="s">
        <v>270</v>
      </c>
      <c r="Z1" s="118" t="s">
        <v>271</v>
      </c>
      <c r="AA1" s="118" t="s">
        <v>272</v>
      </c>
      <c r="AB1" s="118" t="s">
        <v>273</v>
      </c>
      <c r="AC1" s="118" t="s">
        <v>274</v>
      </c>
      <c r="AD1" s="118" t="s">
        <v>275</v>
      </c>
      <c r="AE1" s="118" t="s">
        <v>276</v>
      </c>
      <c r="AF1" s="118" t="s">
        <v>400</v>
      </c>
      <c r="AG1" s="118" t="s">
        <v>387</v>
      </c>
      <c r="AH1" s="118" t="s">
        <v>388</v>
      </c>
      <c r="AI1" s="118" t="s">
        <v>389</v>
      </c>
      <c r="AJ1" s="118" t="s">
        <v>401</v>
      </c>
      <c r="AK1" s="118" t="s">
        <v>282</v>
      </c>
      <c r="AL1" s="118" t="s">
        <v>284</v>
      </c>
      <c r="AM1" s="118" t="s">
        <v>285</v>
      </c>
      <c r="AN1" s="118" t="s">
        <v>286</v>
      </c>
      <c r="AO1" s="118" t="s">
        <v>287</v>
      </c>
      <c r="AP1" s="118" t="s">
        <v>288</v>
      </c>
      <c r="AQ1" s="118" t="s">
        <v>289</v>
      </c>
      <c r="AR1" s="118" t="s">
        <v>290</v>
      </c>
      <c r="AS1" s="118" t="s">
        <v>291</v>
      </c>
      <c r="AT1" s="118" t="s">
        <v>394</v>
      </c>
      <c r="AU1" s="118" t="s">
        <v>292</v>
      </c>
      <c r="AV1" s="118" t="s">
        <v>296</v>
      </c>
      <c r="AW1" s="118" t="s">
        <v>336</v>
      </c>
      <c r="AX1" s="118" t="s">
        <v>337</v>
      </c>
      <c r="AY1" s="118" t="s">
        <v>395</v>
      </c>
    </row>
    <row r="2" spans="1:51" x14ac:dyDescent="0.25">
      <c r="A2" s="58">
        <v>5</v>
      </c>
      <c r="B2" t="s">
        <v>304</v>
      </c>
      <c r="C2" s="74"/>
      <c r="D2" s="74"/>
      <c r="E2" s="74"/>
    </row>
    <row r="3" spans="1:51" x14ac:dyDescent="0.25">
      <c r="A3" s="58">
        <v>9</v>
      </c>
      <c r="B3" t="s">
        <v>268</v>
      </c>
      <c r="C3" s="74"/>
      <c r="D3" s="74"/>
      <c r="E3" s="74"/>
      <c r="G3" s="1" t="s">
        <v>305</v>
      </c>
      <c r="H3" s="2" t="str">
        <f>IFERROR(AVERAGE(H5:H107), "")</f>
        <v/>
      </c>
      <c r="I3" s="65"/>
      <c r="J3" s="66"/>
      <c r="K3" s="67" t="str">
        <f t="shared" ref="K3:AO3" si="0">IFERROR(AVERAGE(K5:K107), "")</f>
        <v/>
      </c>
      <c r="L3" s="72" t="str">
        <f t="shared" si="0"/>
        <v/>
      </c>
      <c r="M3" s="67" t="str">
        <f t="shared" si="0"/>
        <v/>
      </c>
      <c r="N3" s="67" t="str">
        <f t="shared" si="0"/>
        <v/>
      </c>
      <c r="O3" s="67" t="str">
        <f t="shared" si="0"/>
        <v/>
      </c>
      <c r="P3" s="67" t="str">
        <f t="shared" si="0"/>
        <v/>
      </c>
      <c r="Q3" s="67" t="str">
        <f t="shared" si="0"/>
        <v/>
      </c>
      <c r="R3" s="67" t="str">
        <f t="shared" si="0"/>
        <v/>
      </c>
      <c r="S3" s="67" t="str">
        <f t="shared" si="0"/>
        <v/>
      </c>
      <c r="T3" s="67" t="str">
        <f t="shared" si="0"/>
        <v/>
      </c>
      <c r="U3" s="67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5" t="str">
        <f t="shared" si="0"/>
        <v/>
      </c>
      <c r="Z3" s="5" t="str">
        <f t="shared" si="0"/>
        <v/>
      </c>
      <c r="AA3" s="80" t="str">
        <f t="shared" si="0"/>
        <v/>
      </c>
      <c r="AB3" s="80" t="str">
        <f t="shared" si="0"/>
        <v/>
      </c>
      <c r="AC3" s="80" t="str">
        <f t="shared" si="0"/>
        <v/>
      </c>
      <c r="AD3" s="80" t="str">
        <f t="shared" si="0"/>
        <v/>
      </c>
      <c r="AE3" s="80" t="str">
        <f t="shared" si="0"/>
        <v/>
      </c>
      <c r="AF3" s="80" t="str">
        <f t="shared" si="0"/>
        <v/>
      </c>
      <c r="AG3" s="80" t="str">
        <f t="shared" si="0"/>
        <v/>
      </c>
      <c r="AH3" s="80" t="str">
        <f t="shared" si="0"/>
        <v/>
      </c>
      <c r="AI3" s="6" t="str">
        <f t="shared" si="0"/>
        <v/>
      </c>
      <c r="AJ3" s="6" t="str">
        <f t="shared" si="0"/>
        <v/>
      </c>
      <c r="AK3" s="6" t="str">
        <f t="shared" si="0"/>
        <v/>
      </c>
      <c r="AL3" s="6" t="str">
        <f t="shared" si="0"/>
        <v/>
      </c>
      <c r="AM3" s="6" t="str">
        <f t="shared" si="0"/>
        <v/>
      </c>
      <c r="AN3" s="6" t="str">
        <f t="shared" si="0"/>
        <v/>
      </c>
      <c r="AO3" s="6" t="str">
        <f t="shared" si="0"/>
        <v/>
      </c>
      <c r="AP3" s="6" t="str">
        <f t="shared" ref="AP3:AT3" si="1">IFERROR(AVERAGE(AP5:AP107), "")</f>
        <v/>
      </c>
      <c r="AQ3" s="6" t="str">
        <f t="shared" si="1"/>
        <v/>
      </c>
      <c r="AR3" s="6" t="str">
        <f t="shared" si="1"/>
        <v/>
      </c>
      <c r="AS3" s="6" t="str">
        <f t="shared" si="1"/>
        <v/>
      </c>
      <c r="AT3" s="6" t="str">
        <f t="shared" si="1"/>
        <v/>
      </c>
      <c r="AU3" s="86"/>
      <c r="AV3" s="86"/>
      <c r="AW3" s="86"/>
      <c r="AX3" s="86"/>
      <c r="AY3" s="86"/>
    </row>
    <row r="4" spans="1:51" ht="15.75" thickBot="1" x14ac:dyDescent="0.3">
      <c r="A4" s="58">
        <v>17</v>
      </c>
      <c r="B4" t="s">
        <v>269</v>
      </c>
      <c r="C4" s="75"/>
      <c r="D4" s="75"/>
      <c r="E4" s="74"/>
      <c r="G4" s="1" t="s">
        <v>306</v>
      </c>
      <c r="H4" s="2" t="str">
        <f>IFERROR(MEDIAN(H5:H107), "")</f>
        <v/>
      </c>
      <c r="I4" s="1"/>
      <c r="J4" s="66"/>
      <c r="K4" s="67" t="str">
        <f t="shared" ref="K4:AO4" si="2">IFERROR(MEDIAN(K5:K107), "")</f>
        <v/>
      </c>
      <c r="L4" s="72" t="str">
        <f t="shared" si="2"/>
        <v/>
      </c>
      <c r="M4" s="67" t="str">
        <f t="shared" si="2"/>
        <v/>
      </c>
      <c r="N4" s="67" t="str">
        <f t="shared" si="2"/>
        <v/>
      </c>
      <c r="O4" s="67" t="str">
        <f t="shared" si="2"/>
        <v/>
      </c>
      <c r="P4" s="67" t="str">
        <f t="shared" si="2"/>
        <v/>
      </c>
      <c r="Q4" s="67" t="str">
        <f t="shared" si="2"/>
        <v/>
      </c>
      <c r="R4" s="67" t="str">
        <f t="shared" si="2"/>
        <v/>
      </c>
      <c r="S4" s="67" t="str">
        <f t="shared" si="2"/>
        <v/>
      </c>
      <c r="T4" s="67" t="str">
        <f t="shared" si="2"/>
        <v/>
      </c>
      <c r="U4" s="67" t="str">
        <f t="shared" si="2"/>
        <v/>
      </c>
      <c r="V4" s="4" t="str">
        <f t="shared" si="2"/>
        <v/>
      </c>
      <c r="W4" s="4" t="str">
        <f t="shared" si="2"/>
        <v/>
      </c>
      <c r="X4" s="4" t="str">
        <f t="shared" si="2"/>
        <v/>
      </c>
      <c r="Y4" s="5" t="str">
        <f t="shared" si="2"/>
        <v/>
      </c>
      <c r="Z4" s="5" t="str">
        <f t="shared" si="2"/>
        <v/>
      </c>
      <c r="AA4" s="80" t="str">
        <f t="shared" si="2"/>
        <v/>
      </c>
      <c r="AB4" s="80" t="str">
        <f t="shared" si="2"/>
        <v/>
      </c>
      <c r="AC4" s="80" t="str">
        <f t="shared" si="2"/>
        <v/>
      </c>
      <c r="AD4" s="80" t="str">
        <f t="shared" si="2"/>
        <v/>
      </c>
      <c r="AE4" s="80" t="str">
        <f t="shared" si="2"/>
        <v/>
      </c>
      <c r="AF4" s="80" t="str">
        <f t="shared" si="2"/>
        <v/>
      </c>
      <c r="AG4" s="80" t="str">
        <f t="shared" si="2"/>
        <v/>
      </c>
      <c r="AH4" s="80" t="str">
        <f t="shared" si="2"/>
        <v/>
      </c>
      <c r="AI4" s="6" t="str">
        <f t="shared" si="2"/>
        <v/>
      </c>
      <c r="AJ4" s="6" t="str">
        <f t="shared" si="2"/>
        <v/>
      </c>
      <c r="AK4" s="6" t="str">
        <f t="shared" si="2"/>
        <v/>
      </c>
      <c r="AL4" s="6" t="str">
        <f t="shared" si="2"/>
        <v/>
      </c>
      <c r="AM4" s="6" t="str">
        <f t="shared" si="2"/>
        <v/>
      </c>
      <c r="AN4" s="6" t="str">
        <f t="shared" si="2"/>
        <v/>
      </c>
      <c r="AO4" s="6" t="str">
        <f t="shared" si="2"/>
        <v/>
      </c>
      <c r="AP4" s="128" t="str">
        <f t="shared" ref="AP4:AT4" si="3">IFERROR(MEDIAN(AP5:AP107), "")</f>
        <v/>
      </c>
      <c r="AQ4" s="128" t="str">
        <f t="shared" si="3"/>
        <v/>
      </c>
      <c r="AR4" s="128" t="str">
        <f t="shared" si="3"/>
        <v/>
      </c>
      <c r="AS4" s="128" t="str">
        <f t="shared" si="3"/>
        <v/>
      </c>
      <c r="AT4" s="128" t="str">
        <f t="shared" si="3"/>
        <v/>
      </c>
      <c r="AU4" s="87"/>
      <c r="AV4" s="87"/>
      <c r="AW4" s="87"/>
      <c r="AX4" s="87"/>
      <c r="AY4" s="87"/>
    </row>
    <row r="5" spans="1:51" ht="15.75" thickTop="1" x14ac:dyDescent="0.25">
      <c r="A5" s="58">
        <v>23</v>
      </c>
      <c r="B5" t="s">
        <v>335</v>
      </c>
      <c r="C5" s="75"/>
      <c r="D5" s="75"/>
      <c r="E5" s="74"/>
      <c r="G5" s="59" t="e" cm="1" vm="1">
        <f t="array" aca="1" ref="G5" ca="1">_xlfn.LET(
  _xlpm.data, RawData,
  _xlpm.rows, ROWS(_xlpm.data),
  _xlpm.cols, A2:A15,
  _xlpm.mins, C2:C15,
  _xlpm.maxs, D2:D15,
  _xlpm.textFilters, E2:E15,
  _xlpm.numFilters, ROWS(_xlpm.cols),
  _xlpm.mask, _xlfn.BYROW(_xlfn.SEQUENCE(_xlpm.rows),
    _xlfn.LAMBDA(_xlpm.r,
      _xlfn.LET(
        _xlpm.filterResults, _xlfn.BYROW(_xlfn.SEQUENCE(_xlpm.numFilters),
          _xlfn.LAMBDA(_xlpm.f,
            _xlfn.LET(
              _xlpm.colIndex, INDEX(_xlpm.cols,_xlpm.f),
              _xlpm.minVal, INDEX(_xlpm.mins,_xlpm.f),
              _xlpm.maxVal, INDEX(_xlpm.maxs,_xlpm.f),
              _xlpm.textVal, INDEX(_xlpm.textFilters,_xlpm.f),
              _xlpm.cellValue, INDEX(_xlpm.data,_xlpm.r,_xlpm.colIndex),
              IF(NOT(ISBLANK(_xlpm.textVal)),
                IF(ISTEXT(_xlpm.cellValue),
                  ISNUMBER(SEARCH(_xlpm.textVal, _xlpm.cellValue)),
                  FALSE
                ),
                AND(
                  IF(ISBLANK(_xlpm.minVal), TRUE, ISNUMBER(_xlpm.cellValue) * (_xlpm.cellValue &gt;= _xlpm.minVal)),
                  IF(ISBLANK(_xlpm.maxVal), TRUE, ISNUMBER(_xlpm.cellValue) * (_xlpm.cellValue &lt;= _xlpm.maxVal))
                )
              )
            )
          )
        ),
        AND(_xlpm.filterResults)
      )
    )
  ),
  _xlfn._xlws.FILTER(_xlpm.data, _xlpm.mask, "No results")
)</f>
        <v>#NAME?</v>
      </c>
      <c r="H5" s="60"/>
      <c r="I5" s="59"/>
      <c r="J5" s="68"/>
      <c r="K5" s="69"/>
      <c r="L5" s="73"/>
      <c r="M5" s="69"/>
      <c r="N5" s="69"/>
      <c r="O5" s="69"/>
      <c r="P5" s="69"/>
      <c r="Q5" s="69"/>
      <c r="R5" s="69"/>
      <c r="S5" s="69"/>
      <c r="T5" s="69"/>
      <c r="U5" s="69"/>
      <c r="V5" s="61"/>
      <c r="W5" s="61"/>
      <c r="X5" s="61"/>
      <c r="Y5" s="62"/>
      <c r="Z5" s="62"/>
      <c r="AA5" s="81"/>
      <c r="AB5" s="81"/>
      <c r="AC5" s="81"/>
      <c r="AD5" s="81"/>
      <c r="AE5" s="81"/>
      <c r="AF5" s="81"/>
      <c r="AG5" s="81"/>
      <c r="AH5" s="81"/>
      <c r="AI5" s="63"/>
      <c r="AJ5" s="63"/>
      <c r="AK5" s="90"/>
      <c r="AL5" s="63"/>
      <c r="AM5" s="63"/>
      <c r="AN5" s="63"/>
      <c r="AO5" s="63"/>
      <c r="AP5" s="86"/>
      <c r="AQ5" s="86"/>
      <c r="AR5" s="86"/>
      <c r="AS5" s="86"/>
      <c r="AT5" s="86"/>
      <c r="AU5" s="86"/>
      <c r="AV5" s="86"/>
      <c r="AW5" s="86"/>
      <c r="AX5" s="86"/>
      <c r="AY5" s="86"/>
    </row>
    <row r="6" spans="1:51" x14ac:dyDescent="0.25">
      <c r="A6" s="58">
        <v>27</v>
      </c>
      <c r="B6" t="s">
        <v>277</v>
      </c>
      <c r="C6" s="75"/>
      <c r="D6" s="75"/>
      <c r="E6" s="74"/>
      <c r="G6" s="1"/>
      <c r="H6" s="2"/>
      <c r="I6" s="1"/>
      <c r="J6" s="70"/>
      <c r="K6" s="71"/>
      <c r="L6" s="72"/>
      <c r="M6" s="71"/>
      <c r="N6" s="71"/>
      <c r="O6" s="71"/>
      <c r="P6" s="71"/>
      <c r="Q6" s="71"/>
      <c r="R6" s="71"/>
      <c r="S6" s="71"/>
      <c r="T6" s="71"/>
      <c r="U6" s="71"/>
      <c r="V6" s="64"/>
      <c r="W6" s="64"/>
      <c r="X6" s="64"/>
      <c r="Y6" s="5"/>
      <c r="Z6" s="5"/>
      <c r="AA6" s="80"/>
      <c r="AB6" s="80"/>
      <c r="AC6" s="80"/>
      <c r="AD6" s="80"/>
      <c r="AE6" s="80"/>
      <c r="AF6" s="80"/>
      <c r="AG6" s="80"/>
      <c r="AH6" s="80"/>
      <c r="AI6" s="6"/>
      <c r="AJ6" s="6"/>
      <c r="AK6" s="91"/>
      <c r="AL6" s="6"/>
      <c r="AM6" s="6"/>
      <c r="AN6" s="6"/>
      <c r="AO6" s="6"/>
      <c r="AP6" s="86"/>
      <c r="AQ6" s="86"/>
      <c r="AR6" s="86"/>
      <c r="AS6" s="86"/>
      <c r="AT6" s="86"/>
      <c r="AU6" s="86"/>
      <c r="AV6" s="86"/>
      <c r="AW6" s="86"/>
      <c r="AX6" s="86"/>
      <c r="AY6" s="86"/>
    </row>
    <row r="7" spans="1:51" x14ac:dyDescent="0.25">
      <c r="A7" s="58">
        <v>31</v>
      </c>
      <c r="B7" t="s">
        <v>282</v>
      </c>
      <c r="C7" s="75"/>
      <c r="D7" s="75"/>
      <c r="E7" s="74"/>
      <c r="G7" s="1"/>
      <c r="H7" s="2"/>
      <c r="I7" s="1"/>
      <c r="J7" s="66"/>
      <c r="K7" s="67"/>
      <c r="L7" s="72"/>
      <c r="M7" s="67"/>
      <c r="N7" s="67"/>
      <c r="O7" s="67"/>
      <c r="P7" s="67"/>
      <c r="Q7" s="67"/>
      <c r="R7" s="67"/>
      <c r="S7" s="67"/>
      <c r="T7" s="67"/>
      <c r="U7" s="67"/>
      <c r="V7" s="4"/>
      <c r="W7" s="4"/>
      <c r="X7" s="4"/>
      <c r="Y7" s="5"/>
      <c r="Z7" s="5"/>
      <c r="AA7" s="80"/>
      <c r="AB7" s="80"/>
      <c r="AC7" s="80"/>
      <c r="AD7" s="80"/>
      <c r="AE7" s="80"/>
      <c r="AF7" s="80"/>
      <c r="AG7" s="80"/>
      <c r="AH7" s="80"/>
      <c r="AI7" s="6"/>
      <c r="AJ7" s="6"/>
      <c r="AK7" s="92"/>
      <c r="AL7" s="6"/>
      <c r="AM7" s="6"/>
      <c r="AN7" s="6"/>
      <c r="AO7" s="6"/>
      <c r="AP7" s="86"/>
      <c r="AQ7" s="86"/>
      <c r="AR7" s="86"/>
      <c r="AS7" s="86"/>
      <c r="AT7" s="86"/>
      <c r="AU7" s="86"/>
      <c r="AV7" s="86"/>
      <c r="AW7" s="86"/>
      <c r="AX7" s="86"/>
      <c r="AY7" s="86"/>
    </row>
    <row r="8" spans="1:51" x14ac:dyDescent="0.25">
      <c r="A8" s="58">
        <v>32</v>
      </c>
      <c r="B8" t="s">
        <v>284</v>
      </c>
      <c r="C8" s="74"/>
      <c r="D8" s="74"/>
      <c r="E8" s="74"/>
      <c r="G8" s="1"/>
      <c r="H8" s="2"/>
      <c r="I8" s="1"/>
      <c r="J8" s="66"/>
      <c r="K8" s="67"/>
      <c r="L8" s="72"/>
      <c r="M8" s="67"/>
      <c r="N8" s="67"/>
      <c r="O8" s="67"/>
      <c r="P8" s="67"/>
      <c r="Q8" s="67"/>
      <c r="R8" s="67"/>
      <c r="S8" s="67"/>
      <c r="T8" s="67"/>
      <c r="U8" s="67"/>
      <c r="V8" s="4"/>
      <c r="W8" s="4"/>
      <c r="X8" s="4"/>
      <c r="Y8" s="5"/>
      <c r="Z8" s="5"/>
      <c r="AA8" s="80"/>
      <c r="AB8" s="80"/>
      <c r="AC8" s="80"/>
      <c r="AD8" s="80"/>
      <c r="AE8" s="80"/>
      <c r="AF8" s="80"/>
      <c r="AG8" s="80"/>
      <c r="AH8" s="80"/>
      <c r="AI8" s="6"/>
      <c r="AJ8" s="6"/>
      <c r="AK8" s="92"/>
      <c r="AL8" s="6"/>
      <c r="AM8" s="6"/>
      <c r="AN8" s="6"/>
      <c r="AO8" s="6"/>
      <c r="AP8" s="86"/>
      <c r="AQ8" s="86"/>
      <c r="AR8" s="86"/>
      <c r="AS8" s="86"/>
      <c r="AT8" s="86"/>
      <c r="AU8" s="86"/>
      <c r="AV8" s="86"/>
      <c r="AW8" s="86"/>
      <c r="AX8" s="86"/>
      <c r="AY8" s="86"/>
    </row>
    <row r="9" spans="1:51" x14ac:dyDescent="0.25">
      <c r="A9" s="58">
        <v>34</v>
      </c>
      <c r="B9" t="s">
        <v>303</v>
      </c>
      <c r="C9" s="74"/>
      <c r="D9" s="74"/>
      <c r="E9" s="74"/>
      <c r="G9" s="1"/>
      <c r="H9" s="2"/>
      <c r="I9" s="1"/>
      <c r="J9" s="66"/>
      <c r="K9" s="67"/>
      <c r="L9" s="72"/>
      <c r="M9" s="67"/>
      <c r="N9" s="67"/>
      <c r="O9" s="67"/>
      <c r="P9" s="67"/>
      <c r="Q9" s="67"/>
      <c r="R9" s="67"/>
      <c r="S9" s="67"/>
      <c r="T9" s="67"/>
      <c r="U9" s="67"/>
      <c r="V9" s="4"/>
      <c r="W9" s="4"/>
      <c r="X9" s="4"/>
      <c r="Y9" s="5"/>
      <c r="Z9" s="5"/>
      <c r="AA9" s="80"/>
      <c r="AB9" s="80"/>
      <c r="AC9" s="80"/>
      <c r="AD9" s="80"/>
      <c r="AE9" s="80"/>
      <c r="AF9" s="80"/>
      <c r="AG9" s="80"/>
      <c r="AH9" s="80"/>
      <c r="AI9" s="6"/>
      <c r="AJ9" s="6"/>
      <c r="AK9" s="92"/>
      <c r="AL9" s="6"/>
      <c r="AM9" s="6"/>
      <c r="AN9" s="6"/>
      <c r="AO9" s="6"/>
      <c r="AP9" s="86"/>
      <c r="AQ9" s="86"/>
      <c r="AR9" s="86"/>
      <c r="AS9" s="86"/>
      <c r="AT9" s="86"/>
      <c r="AU9" s="86"/>
      <c r="AV9" s="86"/>
      <c r="AW9" s="86"/>
      <c r="AX9" s="86"/>
      <c r="AY9" s="86"/>
    </row>
    <row r="10" spans="1:51" x14ac:dyDescent="0.25">
      <c r="A10" s="58">
        <v>38</v>
      </c>
      <c r="B10" t="s">
        <v>331</v>
      </c>
      <c r="C10" s="74"/>
      <c r="D10" s="74"/>
      <c r="E10" s="74"/>
      <c r="G10" s="1"/>
      <c r="H10" s="2"/>
      <c r="I10" s="1"/>
      <c r="J10" s="66"/>
      <c r="K10" s="67"/>
      <c r="L10" s="72"/>
      <c r="M10" s="67"/>
      <c r="N10" s="67"/>
      <c r="O10" s="67"/>
      <c r="P10" s="67"/>
      <c r="Q10" s="67"/>
      <c r="R10" s="67"/>
      <c r="S10" s="67"/>
      <c r="T10" s="67"/>
      <c r="U10" s="67"/>
      <c r="V10" s="4"/>
      <c r="W10" s="4"/>
      <c r="X10" s="4"/>
      <c r="Y10" s="5"/>
      <c r="Z10" s="5"/>
      <c r="AA10" s="80"/>
      <c r="AB10" s="80"/>
      <c r="AC10" s="80"/>
      <c r="AD10" s="80"/>
      <c r="AE10" s="80"/>
      <c r="AF10" s="80"/>
      <c r="AG10" s="80"/>
      <c r="AH10" s="80"/>
      <c r="AI10" s="6"/>
      <c r="AJ10" s="6"/>
      <c r="AK10" s="83"/>
      <c r="AL10" s="6"/>
      <c r="AM10" s="6"/>
      <c r="AN10" s="6"/>
      <c r="AO10" s="6"/>
      <c r="AP10" s="86"/>
      <c r="AQ10" s="86"/>
      <c r="AR10" s="86"/>
      <c r="AS10" s="86"/>
      <c r="AT10" s="86"/>
      <c r="AU10" s="86"/>
      <c r="AV10" s="86"/>
      <c r="AW10" s="86"/>
      <c r="AX10" s="86"/>
      <c r="AY10" s="86"/>
    </row>
    <row r="11" spans="1:51" x14ac:dyDescent="0.25">
      <c r="A11" s="58">
        <v>42</v>
      </c>
      <c r="B11" t="s">
        <v>333</v>
      </c>
      <c r="C11" s="74"/>
      <c r="D11" s="74"/>
      <c r="E11" s="74"/>
      <c r="G11" s="1"/>
      <c r="H11" s="2"/>
      <c r="I11" s="1"/>
      <c r="J11" s="66"/>
      <c r="K11" s="67"/>
      <c r="L11" s="72"/>
      <c r="M11" s="67"/>
      <c r="N11" s="67"/>
      <c r="O11" s="67"/>
      <c r="P11" s="67"/>
      <c r="Q11" s="67"/>
      <c r="R11" s="67"/>
      <c r="S11" s="67"/>
      <c r="T11" s="67"/>
      <c r="U11" s="67"/>
      <c r="V11" s="4"/>
      <c r="W11" s="4"/>
      <c r="X11" s="4"/>
      <c r="Y11" s="5"/>
      <c r="Z11" s="5"/>
      <c r="AA11" s="80"/>
      <c r="AB11" s="80"/>
      <c r="AC11" s="80"/>
      <c r="AD11" s="80"/>
      <c r="AE11" s="80"/>
      <c r="AF11" s="80"/>
      <c r="AG11" s="80"/>
      <c r="AH11" s="80"/>
      <c r="AI11" s="6"/>
      <c r="AJ11" s="6"/>
      <c r="AK11" s="83"/>
      <c r="AL11" s="6"/>
      <c r="AM11" s="6"/>
      <c r="AN11" s="6"/>
      <c r="AO11" s="6"/>
      <c r="AP11" s="86"/>
      <c r="AQ11" s="86"/>
      <c r="AR11" s="86"/>
      <c r="AS11" s="86"/>
      <c r="AT11" s="86"/>
      <c r="AU11" s="86"/>
      <c r="AV11" s="86"/>
      <c r="AW11" s="86"/>
      <c r="AX11" s="86"/>
      <c r="AY11" s="86"/>
    </row>
    <row r="12" spans="1:51" x14ac:dyDescent="0.25">
      <c r="A12" s="58">
        <v>41</v>
      </c>
      <c r="B12" t="s">
        <v>334</v>
      </c>
      <c r="C12" s="74"/>
      <c r="D12" s="74"/>
      <c r="E12" s="74"/>
      <c r="G12" s="1"/>
      <c r="H12" s="2"/>
      <c r="I12" s="1"/>
      <c r="J12" s="66"/>
      <c r="K12" s="67"/>
      <c r="L12" s="72"/>
      <c r="M12" s="67"/>
      <c r="N12" s="67"/>
      <c r="O12" s="67"/>
      <c r="P12" s="67"/>
      <c r="Q12" s="67"/>
      <c r="R12" s="67"/>
      <c r="S12" s="67"/>
      <c r="T12" s="67"/>
      <c r="U12" s="67"/>
      <c r="V12" s="4"/>
      <c r="W12" s="4"/>
      <c r="X12" s="4"/>
      <c r="Y12" s="5"/>
      <c r="Z12" s="5"/>
      <c r="AA12" s="80"/>
      <c r="AB12" s="80"/>
      <c r="AC12" s="80"/>
      <c r="AD12" s="80"/>
      <c r="AE12" s="80"/>
      <c r="AF12" s="80"/>
      <c r="AG12" s="80"/>
      <c r="AH12" s="80"/>
      <c r="AI12" s="6"/>
      <c r="AJ12" s="6"/>
      <c r="AK12" s="83"/>
      <c r="AL12" s="6"/>
      <c r="AM12" s="6"/>
      <c r="AN12" s="6"/>
      <c r="AO12" s="6"/>
      <c r="AP12" s="86"/>
      <c r="AQ12" s="86"/>
      <c r="AR12" s="86"/>
      <c r="AS12" s="86"/>
      <c r="AT12" s="86"/>
      <c r="AU12" s="86"/>
      <c r="AV12" s="86"/>
      <c r="AW12" s="86"/>
      <c r="AX12" s="86"/>
      <c r="AY12" s="86"/>
    </row>
    <row r="13" spans="1:51" x14ac:dyDescent="0.25">
      <c r="A13" s="58">
        <v>44</v>
      </c>
      <c r="B13" t="s">
        <v>345</v>
      </c>
      <c r="C13" s="74"/>
      <c r="D13" s="74"/>
      <c r="E13" s="74" t="s">
        <v>403</v>
      </c>
      <c r="G13" s="1"/>
      <c r="H13" s="2"/>
      <c r="I13" s="1"/>
      <c r="J13" s="66"/>
      <c r="K13" s="67"/>
      <c r="L13" s="72"/>
      <c r="M13" s="67"/>
      <c r="N13" s="67"/>
      <c r="O13" s="67"/>
      <c r="P13" s="67"/>
      <c r="Q13" s="67"/>
      <c r="R13" s="67"/>
      <c r="S13" s="67"/>
      <c r="T13" s="67"/>
      <c r="U13" s="67"/>
      <c r="V13" s="4"/>
      <c r="W13" s="4"/>
      <c r="X13" s="4"/>
      <c r="Y13" s="5"/>
      <c r="Z13" s="5"/>
      <c r="AA13" s="80"/>
      <c r="AB13" s="80"/>
      <c r="AC13" s="80"/>
      <c r="AD13" s="80"/>
      <c r="AE13" s="80"/>
      <c r="AF13" s="80"/>
      <c r="AG13" s="80"/>
      <c r="AH13" s="80"/>
      <c r="AI13" s="6"/>
      <c r="AJ13" s="6"/>
      <c r="AK13" s="83"/>
      <c r="AL13" s="6"/>
      <c r="AM13" s="6"/>
      <c r="AN13" s="6"/>
      <c r="AO13" s="6"/>
      <c r="AP13" s="86"/>
      <c r="AQ13" s="86"/>
      <c r="AR13" s="86"/>
      <c r="AS13" s="86"/>
      <c r="AT13" s="86"/>
      <c r="AU13" s="86"/>
      <c r="AV13" s="86"/>
      <c r="AW13" s="86"/>
      <c r="AX13" s="86"/>
      <c r="AY13" s="86"/>
    </row>
    <row r="14" spans="1:51" x14ac:dyDescent="0.25">
      <c r="A14" s="58">
        <v>43</v>
      </c>
      <c r="B14" t="s">
        <v>336</v>
      </c>
      <c r="C14" s="74"/>
      <c r="D14" s="74"/>
      <c r="E14" s="74"/>
      <c r="G14" s="1"/>
      <c r="H14" s="2"/>
      <c r="I14" s="1"/>
      <c r="J14" s="66"/>
      <c r="K14" s="67"/>
      <c r="L14" s="72"/>
      <c r="M14" s="67"/>
      <c r="N14" s="67"/>
      <c r="O14" s="67"/>
      <c r="P14" s="67"/>
      <c r="Q14" s="67"/>
      <c r="R14" s="67"/>
      <c r="S14" s="67"/>
      <c r="T14" s="67"/>
      <c r="U14" s="67"/>
      <c r="V14" s="4"/>
      <c r="W14" s="4"/>
      <c r="X14" s="4"/>
      <c r="Y14" s="5"/>
      <c r="Z14" s="5"/>
      <c r="AA14" s="80"/>
      <c r="AB14" s="80"/>
      <c r="AC14" s="80"/>
      <c r="AD14" s="80"/>
      <c r="AE14" s="80"/>
      <c r="AF14" s="80"/>
      <c r="AG14" s="80"/>
      <c r="AH14" s="80"/>
      <c r="AI14" s="6"/>
      <c r="AJ14" s="6"/>
      <c r="AK14" s="83"/>
      <c r="AL14" s="6"/>
      <c r="AM14" s="6"/>
      <c r="AN14" s="6"/>
      <c r="AO14" s="6"/>
      <c r="AP14" s="86"/>
      <c r="AQ14" s="86"/>
      <c r="AR14" s="86"/>
      <c r="AS14" s="86"/>
      <c r="AT14" s="86"/>
      <c r="AU14" s="86"/>
      <c r="AV14" s="86"/>
      <c r="AW14" s="86"/>
      <c r="AX14" s="86"/>
      <c r="AY14" s="86"/>
    </row>
    <row r="15" spans="1:51" x14ac:dyDescent="0.25">
      <c r="A15" s="58">
        <v>45</v>
      </c>
      <c r="B15" t="s">
        <v>398</v>
      </c>
      <c r="G15" s="1"/>
      <c r="H15" s="2"/>
      <c r="I15" s="1"/>
      <c r="J15" s="66"/>
      <c r="K15" s="67"/>
      <c r="L15" s="72"/>
      <c r="M15" s="67"/>
      <c r="N15" s="67"/>
      <c r="O15" s="67"/>
      <c r="P15" s="67"/>
      <c r="Q15" s="67"/>
      <c r="R15" s="67"/>
      <c r="S15" s="67"/>
      <c r="T15" s="67"/>
      <c r="U15" s="67"/>
      <c r="V15" s="4"/>
      <c r="W15" s="4"/>
      <c r="X15" s="4"/>
      <c r="Y15" s="5"/>
      <c r="Z15" s="5"/>
      <c r="AA15" s="80"/>
      <c r="AB15" s="80"/>
      <c r="AC15" s="80"/>
      <c r="AD15" s="80"/>
      <c r="AE15" s="80"/>
      <c r="AF15" s="80"/>
      <c r="AG15" s="80"/>
      <c r="AH15" s="80"/>
      <c r="AI15" s="6"/>
      <c r="AJ15" s="6"/>
      <c r="AK15" s="83"/>
      <c r="AL15" s="6"/>
      <c r="AM15" s="6"/>
      <c r="AN15" s="6"/>
      <c r="AO15" s="6"/>
      <c r="AP15" s="86"/>
      <c r="AQ15" s="86"/>
      <c r="AR15" s="86"/>
      <c r="AS15" s="86"/>
      <c r="AT15" s="86"/>
      <c r="AU15" s="86"/>
      <c r="AV15" s="86"/>
      <c r="AW15" s="86"/>
      <c r="AX15" s="86"/>
      <c r="AY15" s="86"/>
    </row>
    <row r="16" spans="1:51" x14ac:dyDescent="0.25">
      <c r="G16" s="1"/>
      <c r="H16" s="2"/>
      <c r="I16" s="1"/>
      <c r="J16" s="66"/>
      <c r="K16" s="67"/>
      <c r="L16" s="72"/>
      <c r="M16" s="67"/>
      <c r="N16" s="67"/>
      <c r="O16" s="67"/>
      <c r="P16" s="67"/>
      <c r="Q16" s="67"/>
      <c r="R16" s="67"/>
      <c r="S16" s="67"/>
      <c r="T16" s="67"/>
      <c r="U16" s="67"/>
      <c r="V16" s="4"/>
      <c r="W16" s="4"/>
      <c r="X16" s="4"/>
      <c r="Y16" s="5"/>
      <c r="Z16" s="5"/>
      <c r="AA16" s="80"/>
      <c r="AB16" s="80"/>
      <c r="AC16" s="80"/>
      <c r="AD16" s="80"/>
      <c r="AE16" s="80"/>
      <c r="AF16" s="80"/>
      <c r="AG16" s="80"/>
      <c r="AH16" s="80"/>
      <c r="AI16" s="6"/>
      <c r="AJ16" s="6"/>
      <c r="AK16" s="83"/>
      <c r="AL16" s="6"/>
      <c r="AM16" s="6"/>
      <c r="AN16" s="6"/>
      <c r="AO16" s="6"/>
      <c r="AP16" s="86"/>
      <c r="AQ16" s="86"/>
      <c r="AR16" s="86"/>
      <c r="AS16" s="86"/>
      <c r="AT16" s="86"/>
      <c r="AU16" s="86"/>
      <c r="AV16" s="86"/>
      <c r="AW16" s="86"/>
      <c r="AX16" s="86"/>
      <c r="AY16" s="86"/>
    </row>
    <row r="17" spans="7:51" x14ac:dyDescent="0.25">
      <c r="G17" s="1"/>
      <c r="H17" s="2"/>
      <c r="I17" s="1"/>
      <c r="J17" s="66"/>
      <c r="K17" s="67"/>
      <c r="L17" s="72"/>
      <c r="M17" s="67"/>
      <c r="N17" s="67"/>
      <c r="O17" s="67"/>
      <c r="P17" s="67"/>
      <c r="Q17" s="67"/>
      <c r="R17" s="67"/>
      <c r="S17" s="67"/>
      <c r="T17" s="67"/>
      <c r="U17" s="67"/>
      <c r="V17" s="4"/>
      <c r="W17" s="4"/>
      <c r="X17" s="4"/>
      <c r="Y17" s="5"/>
      <c r="Z17" s="5"/>
      <c r="AA17" s="80"/>
      <c r="AB17" s="80"/>
      <c r="AC17" s="80"/>
      <c r="AD17" s="80"/>
      <c r="AE17" s="80"/>
      <c r="AF17" s="80"/>
      <c r="AG17" s="80"/>
      <c r="AH17" s="80"/>
      <c r="AI17" s="6"/>
      <c r="AJ17" s="6"/>
      <c r="AK17" s="83"/>
      <c r="AL17" s="6"/>
      <c r="AM17" s="6"/>
      <c r="AN17" s="6"/>
      <c r="AO17" s="6"/>
      <c r="AP17" s="86"/>
      <c r="AQ17" s="86"/>
      <c r="AR17" s="86"/>
      <c r="AS17" s="86"/>
      <c r="AT17" s="86"/>
      <c r="AU17" s="86"/>
      <c r="AV17" s="86"/>
      <c r="AW17" s="86"/>
      <c r="AX17" s="86"/>
      <c r="AY17" s="86"/>
    </row>
    <row r="18" spans="7:51" s="8" customFormat="1" ht="12.75" x14ac:dyDescent="0.2">
      <c r="G18" s="1"/>
      <c r="H18" s="2"/>
      <c r="I18" s="1"/>
      <c r="J18" s="66"/>
      <c r="K18" s="67"/>
      <c r="L18" s="72"/>
      <c r="M18" s="67"/>
      <c r="N18" s="67"/>
      <c r="O18" s="67"/>
      <c r="P18" s="67"/>
      <c r="Q18" s="67"/>
      <c r="R18" s="67"/>
      <c r="S18" s="67"/>
      <c r="T18" s="67"/>
      <c r="U18" s="67"/>
      <c r="V18" s="4"/>
      <c r="W18" s="4"/>
      <c r="X18" s="4"/>
      <c r="Y18" s="5"/>
      <c r="Z18" s="5"/>
      <c r="AA18" s="80"/>
      <c r="AB18" s="80"/>
      <c r="AC18" s="80"/>
      <c r="AD18" s="80"/>
      <c r="AE18" s="80"/>
      <c r="AF18" s="80"/>
      <c r="AG18" s="80"/>
      <c r="AH18" s="80"/>
      <c r="AI18" s="6"/>
      <c r="AJ18" s="6"/>
      <c r="AK18" s="83"/>
      <c r="AL18" s="6"/>
      <c r="AM18" s="6"/>
      <c r="AN18" s="6"/>
      <c r="AO18" s="6"/>
      <c r="AP18" s="86"/>
      <c r="AQ18" s="86"/>
      <c r="AR18" s="86"/>
      <c r="AS18" s="86"/>
      <c r="AT18" s="86"/>
      <c r="AU18" s="86"/>
      <c r="AV18" s="86"/>
      <c r="AW18" s="86"/>
      <c r="AX18" s="86"/>
      <c r="AY18" s="86"/>
    </row>
    <row r="19" spans="7:51" s="8" customFormat="1" ht="12.75" x14ac:dyDescent="0.2">
      <c r="G19" s="1"/>
      <c r="H19" s="2"/>
      <c r="I19" s="1"/>
      <c r="J19" s="66"/>
      <c r="K19" s="67"/>
      <c r="L19" s="72"/>
      <c r="M19" s="67"/>
      <c r="N19" s="67"/>
      <c r="O19" s="67"/>
      <c r="P19" s="67"/>
      <c r="Q19" s="67"/>
      <c r="R19" s="67"/>
      <c r="S19" s="67"/>
      <c r="T19" s="67"/>
      <c r="U19" s="67"/>
      <c r="V19" s="4"/>
      <c r="W19" s="4"/>
      <c r="X19" s="4"/>
      <c r="Y19" s="5"/>
      <c r="Z19" s="5"/>
      <c r="AA19" s="80"/>
      <c r="AB19" s="80"/>
      <c r="AC19" s="80"/>
      <c r="AD19" s="80"/>
      <c r="AE19" s="80"/>
      <c r="AF19" s="80"/>
      <c r="AG19" s="80"/>
      <c r="AH19" s="80"/>
      <c r="AI19" s="6"/>
      <c r="AJ19" s="6"/>
      <c r="AK19" s="83"/>
      <c r="AL19" s="6"/>
      <c r="AM19" s="6"/>
      <c r="AN19" s="6"/>
      <c r="AO19" s="6"/>
      <c r="AP19" s="86"/>
      <c r="AQ19" s="86"/>
      <c r="AR19" s="86"/>
      <c r="AS19" s="86"/>
      <c r="AT19" s="86"/>
      <c r="AU19" s="86"/>
      <c r="AV19" s="86"/>
      <c r="AW19" s="86"/>
      <c r="AX19" s="86"/>
      <c r="AY19" s="86"/>
    </row>
    <row r="20" spans="7:51" s="8" customFormat="1" ht="12.75" x14ac:dyDescent="0.2">
      <c r="G20" s="1"/>
      <c r="H20" s="2"/>
      <c r="I20" s="1"/>
      <c r="J20" s="66"/>
      <c r="K20" s="67"/>
      <c r="L20" s="72"/>
      <c r="M20" s="67"/>
      <c r="N20" s="67"/>
      <c r="O20" s="67"/>
      <c r="P20" s="67"/>
      <c r="Q20" s="67"/>
      <c r="R20" s="67"/>
      <c r="S20" s="67"/>
      <c r="T20" s="67"/>
      <c r="U20" s="67"/>
      <c r="V20" s="4"/>
      <c r="W20" s="4"/>
      <c r="X20" s="4"/>
      <c r="Y20" s="5"/>
      <c r="Z20" s="5"/>
      <c r="AA20" s="80"/>
      <c r="AB20" s="80"/>
      <c r="AC20" s="80"/>
      <c r="AD20" s="80"/>
      <c r="AE20" s="80"/>
      <c r="AF20" s="80"/>
      <c r="AG20" s="80"/>
      <c r="AH20" s="80"/>
      <c r="AI20" s="6"/>
      <c r="AJ20" s="6"/>
      <c r="AK20" s="83"/>
      <c r="AL20" s="6"/>
      <c r="AM20" s="6"/>
      <c r="AN20" s="6"/>
      <c r="AO20" s="6"/>
      <c r="AP20" s="86"/>
      <c r="AQ20" s="86"/>
      <c r="AR20" s="86"/>
      <c r="AS20" s="86"/>
      <c r="AT20" s="86"/>
      <c r="AU20" s="86"/>
      <c r="AV20" s="86"/>
      <c r="AW20" s="86"/>
      <c r="AX20" s="86"/>
      <c r="AY20" s="86"/>
    </row>
    <row r="21" spans="7:51" s="8" customFormat="1" ht="12.75" x14ac:dyDescent="0.2">
      <c r="G21" s="1"/>
      <c r="H21" s="2"/>
      <c r="I21" s="1"/>
      <c r="J21" s="66"/>
      <c r="K21" s="67"/>
      <c r="L21" s="72"/>
      <c r="M21" s="67"/>
      <c r="N21" s="67"/>
      <c r="O21" s="67"/>
      <c r="P21" s="67"/>
      <c r="Q21" s="67"/>
      <c r="R21" s="67"/>
      <c r="S21" s="67"/>
      <c r="T21" s="67"/>
      <c r="U21" s="67"/>
      <c r="V21" s="4"/>
      <c r="W21" s="4"/>
      <c r="X21" s="4"/>
      <c r="Y21" s="5"/>
      <c r="Z21" s="5"/>
      <c r="AA21" s="80"/>
      <c r="AB21" s="80"/>
      <c r="AC21" s="80"/>
      <c r="AD21" s="80"/>
      <c r="AE21" s="80"/>
      <c r="AF21" s="80"/>
      <c r="AG21" s="80"/>
      <c r="AH21" s="80"/>
      <c r="AI21" s="6"/>
      <c r="AJ21" s="6"/>
      <c r="AK21" s="83"/>
      <c r="AL21" s="6"/>
      <c r="AM21" s="6"/>
      <c r="AN21" s="6"/>
      <c r="AO21" s="6"/>
      <c r="AP21" s="86"/>
      <c r="AQ21" s="86"/>
      <c r="AR21" s="86"/>
      <c r="AS21" s="86"/>
      <c r="AT21" s="86"/>
      <c r="AU21" s="86"/>
      <c r="AV21" s="86"/>
      <c r="AW21" s="86"/>
      <c r="AX21" s="86"/>
      <c r="AY21" s="86"/>
    </row>
    <row r="22" spans="7:51" s="8" customFormat="1" ht="12.75" x14ac:dyDescent="0.2">
      <c r="G22" s="1"/>
      <c r="H22" s="2"/>
      <c r="I22" s="1"/>
      <c r="J22" s="66"/>
      <c r="K22" s="67"/>
      <c r="L22" s="72"/>
      <c r="M22" s="67"/>
      <c r="N22" s="67"/>
      <c r="O22" s="67"/>
      <c r="P22" s="67"/>
      <c r="Q22" s="67"/>
      <c r="R22" s="67"/>
      <c r="S22" s="67"/>
      <c r="T22" s="67"/>
      <c r="U22" s="67"/>
      <c r="V22" s="4"/>
      <c r="W22" s="4"/>
      <c r="X22" s="4"/>
      <c r="Y22" s="5"/>
      <c r="Z22" s="5"/>
      <c r="AA22" s="80"/>
      <c r="AB22" s="80"/>
      <c r="AC22" s="80"/>
      <c r="AD22" s="80"/>
      <c r="AE22" s="80"/>
      <c r="AF22" s="80"/>
      <c r="AG22" s="80"/>
      <c r="AH22" s="80"/>
      <c r="AI22" s="6"/>
      <c r="AJ22" s="6"/>
      <c r="AK22" s="83"/>
      <c r="AL22" s="6"/>
      <c r="AM22" s="6"/>
      <c r="AN22" s="6"/>
      <c r="AO22" s="6"/>
      <c r="AP22" s="86"/>
      <c r="AQ22" s="86"/>
      <c r="AR22" s="86"/>
      <c r="AS22" s="86"/>
      <c r="AT22" s="86"/>
      <c r="AU22" s="86"/>
      <c r="AV22" s="86"/>
      <c r="AW22" s="86"/>
      <c r="AX22" s="86"/>
      <c r="AY22" s="86"/>
    </row>
    <row r="23" spans="7:51" s="8" customFormat="1" ht="12.75" x14ac:dyDescent="0.2">
      <c r="G23" s="1"/>
      <c r="H23" s="2"/>
      <c r="I23" s="1"/>
      <c r="J23" s="66"/>
      <c r="K23" s="67"/>
      <c r="L23" s="72"/>
      <c r="M23" s="67"/>
      <c r="N23" s="67"/>
      <c r="O23" s="67"/>
      <c r="P23" s="67"/>
      <c r="Q23" s="67"/>
      <c r="R23" s="67"/>
      <c r="S23" s="67"/>
      <c r="T23" s="67"/>
      <c r="U23" s="67"/>
      <c r="V23" s="4"/>
      <c r="W23" s="4"/>
      <c r="X23" s="4"/>
      <c r="Y23" s="5"/>
      <c r="Z23" s="5"/>
      <c r="AA23" s="80"/>
      <c r="AB23" s="80"/>
      <c r="AC23" s="80"/>
      <c r="AD23" s="80"/>
      <c r="AE23" s="80"/>
      <c r="AF23" s="80"/>
      <c r="AG23" s="80"/>
      <c r="AH23" s="80"/>
      <c r="AI23" s="6"/>
      <c r="AJ23" s="6"/>
      <c r="AK23" s="83"/>
      <c r="AL23" s="6"/>
      <c r="AM23" s="6"/>
      <c r="AN23" s="6"/>
      <c r="AO23" s="6"/>
      <c r="AP23" s="86"/>
      <c r="AQ23" s="86"/>
      <c r="AR23" s="86"/>
      <c r="AS23" s="86"/>
      <c r="AT23" s="86"/>
      <c r="AU23" s="86"/>
      <c r="AV23" s="86"/>
      <c r="AW23" s="86"/>
      <c r="AX23" s="86"/>
      <c r="AY23" s="86"/>
    </row>
    <row r="24" spans="7:51" s="8" customFormat="1" ht="12.75" x14ac:dyDescent="0.2">
      <c r="G24" s="1"/>
      <c r="H24" s="2"/>
      <c r="I24" s="1"/>
      <c r="J24" s="66"/>
      <c r="K24" s="67"/>
      <c r="L24" s="72"/>
      <c r="M24" s="67"/>
      <c r="N24" s="67"/>
      <c r="O24" s="67"/>
      <c r="P24" s="67"/>
      <c r="Q24" s="67"/>
      <c r="R24" s="67"/>
      <c r="S24" s="67"/>
      <c r="T24" s="67"/>
      <c r="U24" s="67"/>
      <c r="V24" s="4"/>
      <c r="W24" s="4"/>
      <c r="X24" s="4"/>
      <c r="Y24" s="5"/>
      <c r="Z24" s="5"/>
      <c r="AA24" s="80"/>
      <c r="AB24" s="80"/>
      <c r="AC24" s="80"/>
      <c r="AD24" s="80"/>
      <c r="AE24" s="80"/>
      <c r="AF24" s="80"/>
      <c r="AG24" s="80"/>
      <c r="AH24" s="80"/>
      <c r="AI24" s="6"/>
      <c r="AJ24" s="6"/>
      <c r="AK24" s="83"/>
      <c r="AL24" s="6"/>
      <c r="AM24" s="6"/>
      <c r="AN24" s="6"/>
      <c r="AO24" s="6"/>
      <c r="AP24" s="86"/>
      <c r="AQ24" s="86"/>
      <c r="AR24" s="86"/>
      <c r="AS24" s="86"/>
      <c r="AT24" s="86"/>
      <c r="AU24" s="86"/>
      <c r="AV24" s="86"/>
      <c r="AW24" s="86"/>
      <c r="AX24" s="86"/>
      <c r="AY24" s="86"/>
    </row>
    <row r="25" spans="7:51" s="8" customFormat="1" ht="12.75" x14ac:dyDescent="0.2">
      <c r="G25" s="1"/>
      <c r="H25" s="2"/>
      <c r="I25" s="1"/>
      <c r="J25" s="66"/>
      <c r="K25" s="67"/>
      <c r="L25" s="72"/>
      <c r="M25" s="67"/>
      <c r="N25" s="67"/>
      <c r="O25" s="67"/>
      <c r="P25" s="67"/>
      <c r="Q25" s="67"/>
      <c r="R25" s="67"/>
      <c r="S25" s="67"/>
      <c r="T25" s="67"/>
      <c r="U25" s="67"/>
      <c r="V25" s="4"/>
      <c r="W25" s="4"/>
      <c r="X25" s="4"/>
      <c r="Y25" s="5"/>
      <c r="Z25" s="5"/>
      <c r="AA25" s="80"/>
      <c r="AB25" s="80"/>
      <c r="AC25" s="80"/>
      <c r="AD25" s="80"/>
      <c r="AE25" s="80"/>
      <c r="AF25" s="80"/>
      <c r="AG25" s="80"/>
      <c r="AH25" s="80"/>
      <c r="AI25" s="6"/>
      <c r="AJ25" s="6"/>
      <c r="AK25" s="83"/>
      <c r="AL25" s="6"/>
      <c r="AM25" s="6"/>
      <c r="AN25" s="6"/>
      <c r="AO25" s="6"/>
      <c r="AP25" s="86"/>
      <c r="AQ25" s="86"/>
      <c r="AR25" s="86"/>
      <c r="AS25" s="86"/>
      <c r="AT25" s="86"/>
      <c r="AU25" s="86"/>
      <c r="AV25" s="86"/>
      <c r="AW25" s="86"/>
      <c r="AX25" s="86"/>
      <c r="AY25" s="86"/>
    </row>
    <row r="26" spans="7:51" s="8" customFormat="1" ht="12.75" x14ac:dyDescent="0.2">
      <c r="G26" s="1"/>
      <c r="H26" s="2"/>
      <c r="I26" s="1"/>
      <c r="J26" s="66"/>
      <c r="K26" s="67"/>
      <c r="L26" s="72"/>
      <c r="M26" s="67"/>
      <c r="N26" s="67"/>
      <c r="O26" s="67"/>
      <c r="P26" s="67"/>
      <c r="Q26" s="67"/>
      <c r="R26" s="67"/>
      <c r="S26" s="67"/>
      <c r="T26" s="67"/>
      <c r="U26" s="67"/>
      <c r="V26" s="4"/>
      <c r="W26" s="4"/>
      <c r="X26" s="4"/>
      <c r="Y26" s="5"/>
      <c r="Z26" s="5"/>
      <c r="AA26" s="80"/>
      <c r="AB26" s="80"/>
      <c r="AC26" s="80"/>
      <c r="AD26" s="80"/>
      <c r="AE26" s="80"/>
      <c r="AF26" s="80"/>
      <c r="AG26" s="80"/>
      <c r="AH26" s="80"/>
      <c r="AI26" s="6"/>
      <c r="AJ26" s="6"/>
      <c r="AK26" s="83"/>
      <c r="AL26" s="6"/>
      <c r="AM26" s="6"/>
      <c r="AN26" s="6"/>
      <c r="AO26" s="6"/>
      <c r="AP26" s="86"/>
      <c r="AQ26" s="86"/>
      <c r="AR26" s="86"/>
      <c r="AS26" s="86"/>
      <c r="AT26" s="86"/>
      <c r="AU26" s="86"/>
      <c r="AV26" s="86"/>
      <c r="AW26" s="86"/>
      <c r="AX26" s="86"/>
      <c r="AY26" s="86"/>
    </row>
    <row r="27" spans="7:51" s="8" customFormat="1" ht="12.75" x14ac:dyDescent="0.2">
      <c r="G27" s="1"/>
      <c r="H27" s="2"/>
      <c r="I27" s="1"/>
      <c r="J27" s="66"/>
      <c r="K27" s="67"/>
      <c r="L27" s="72"/>
      <c r="M27" s="67"/>
      <c r="N27" s="67"/>
      <c r="O27" s="67"/>
      <c r="P27" s="67"/>
      <c r="Q27" s="67"/>
      <c r="R27" s="67"/>
      <c r="S27" s="67"/>
      <c r="T27" s="67"/>
      <c r="U27" s="67"/>
      <c r="V27" s="4"/>
      <c r="W27" s="4"/>
      <c r="X27" s="4"/>
      <c r="Y27" s="5"/>
      <c r="Z27" s="5"/>
      <c r="AA27" s="80"/>
      <c r="AB27" s="80"/>
      <c r="AC27" s="80"/>
      <c r="AD27" s="80"/>
      <c r="AE27" s="80"/>
      <c r="AF27" s="80"/>
      <c r="AG27" s="80"/>
      <c r="AH27" s="80"/>
      <c r="AI27" s="6"/>
      <c r="AJ27" s="6"/>
      <c r="AK27" s="83"/>
      <c r="AL27" s="6"/>
      <c r="AM27" s="6"/>
      <c r="AN27" s="6"/>
      <c r="AO27" s="6"/>
      <c r="AP27" s="86"/>
      <c r="AQ27" s="86"/>
      <c r="AR27" s="86"/>
      <c r="AS27" s="86"/>
      <c r="AT27" s="86"/>
      <c r="AU27" s="86"/>
      <c r="AV27" s="86"/>
      <c r="AW27" s="86"/>
      <c r="AX27" s="86"/>
      <c r="AY27" s="86"/>
    </row>
    <row r="28" spans="7:51" s="8" customFormat="1" ht="12.75" x14ac:dyDescent="0.2">
      <c r="G28" s="1"/>
      <c r="H28" s="2"/>
      <c r="I28" s="1"/>
      <c r="J28" s="66"/>
      <c r="K28" s="67"/>
      <c r="L28" s="72"/>
      <c r="M28" s="67"/>
      <c r="N28" s="67"/>
      <c r="O28" s="67"/>
      <c r="P28" s="67"/>
      <c r="Q28" s="67"/>
      <c r="R28" s="67"/>
      <c r="S28" s="67"/>
      <c r="T28" s="67"/>
      <c r="U28" s="67"/>
      <c r="V28" s="4"/>
      <c r="W28" s="4"/>
      <c r="X28" s="4"/>
      <c r="Y28" s="5"/>
      <c r="Z28" s="5"/>
      <c r="AA28" s="80"/>
      <c r="AB28" s="80"/>
      <c r="AC28" s="80"/>
      <c r="AD28" s="80"/>
      <c r="AE28" s="80"/>
      <c r="AF28" s="80"/>
      <c r="AG28" s="80"/>
      <c r="AH28" s="80"/>
      <c r="AI28" s="6"/>
      <c r="AJ28" s="6"/>
      <c r="AK28" s="83"/>
      <c r="AL28" s="6"/>
      <c r="AM28" s="6"/>
      <c r="AN28" s="6"/>
      <c r="AO28" s="6"/>
      <c r="AP28" s="86"/>
      <c r="AQ28" s="86"/>
      <c r="AR28" s="86"/>
      <c r="AS28" s="86"/>
      <c r="AT28" s="86"/>
      <c r="AU28" s="86"/>
      <c r="AV28" s="86"/>
      <c r="AW28" s="86"/>
      <c r="AX28" s="86"/>
      <c r="AY28" s="86"/>
    </row>
    <row r="29" spans="7:51" s="8" customFormat="1" ht="12.75" x14ac:dyDescent="0.2">
      <c r="G29" s="1"/>
      <c r="H29" s="2"/>
      <c r="I29" s="1"/>
      <c r="J29" s="66"/>
      <c r="K29" s="67"/>
      <c r="L29" s="72"/>
      <c r="M29" s="67"/>
      <c r="N29" s="67"/>
      <c r="O29" s="67"/>
      <c r="P29" s="67"/>
      <c r="Q29" s="67"/>
      <c r="R29" s="67"/>
      <c r="S29" s="67"/>
      <c r="T29" s="67"/>
      <c r="U29" s="67"/>
      <c r="V29" s="4"/>
      <c r="W29" s="4"/>
      <c r="X29" s="4"/>
      <c r="Y29" s="5"/>
      <c r="Z29" s="5"/>
      <c r="AA29" s="80"/>
      <c r="AB29" s="80"/>
      <c r="AC29" s="80"/>
      <c r="AD29" s="80"/>
      <c r="AE29" s="80"/>
      <c r="AF29" s="80"/>
      <c r="AG29" s="80"/>
      <c r="AH29" s="80"/>
      <c r="AI29" s="6"/>
      <c r="AJ29" s="6"/>
      <c r="AK29" s="83"/>
      <c r="AL29" s="6"/>
      <c r="AM29" s="6"/>
      <c r="AN29" s="6"/>
      <c r="AO29" s="6"/>
      <c r="AP29" s="86"/>
      <c r="AQ29" s="86"/>
      <c r="AR29" s="86"/>
      <c r="AS29" s="86"/>
      <c r="AT29" s="86"/>
      <c r="AU29" s="86"/>
      <c r="AV29" s="86"/>
      <c r="AW29" s="86"/>
      <c r="AX29" s="86"/>
      <c r="AY29" s="86"/>
    </row>
    <row r="30" spans="7:51" s="8" customFormat="1" ht="12.75" x14ac:dyDescent="0.2">
      <c r="G30" s="1"/>
      <c r="H30" s="2"/>
      <c r="I30" s="1"/>
      <c r="J30" s="66"/>
      <c r="K30" s="67"/>
      <c r="L30" s="72"/>
      <c r="M30" s="67"/>
      <c r="N30" s="67"/>
      <c r="O30" s="67"/>
      <c r="P30" s="67"/>
      <c r="Q30" s="67"/>
      <c r="R30" s="67"/>
      <c r="S30" s="67"/>
      <c r="T30" s="67"/>
      <c r="U30" s="67"/>
      <c r="V30" s="4"/>
      <c r="W30" s="4"/>
      <c r="X30" s="4"/>
      <c r="Y30" s="5"/>
      <c r="Z30" s="5"/>
      <c r="AA30" s="80"/>
      <c r="AB30" s="80"/>
      <c r="AC30" s="80"/>
      <c r="AD30" s="80"/>
      <c r="AE30" s="80"/>
      <c r="AF30" s="80"/>
      <c r="AG30" s="80"/>
      <c r="AH30" s="80"/>
      <c r="AI30" s="6"/>
      <c r="AJ30" s="6"/>
      <c r="AK30" s="83"/>
      <c r="AL30" s="6"/>
      <c r="AM30" s="6"/>
      <c r="AN30" s="6"/>
      <c r="AO30" s="6"/>
      <c r="AP30" s="86"/>
      <c r="AQ30" s="86"/>
      <c r="AR30" s="86"/>
      <c r="AS30" s="86"/>
      <c r="AT30" s="86"/>
      <c r="AU30" s="86"/>
      <c r="AV30" s="86"/>
      <c r="AW30" s="86"/>
      <c r="AX30" s="86"/>
      <c r="AY30" s="86"/>
    </row>
    <row r="31" spans="7:51" s="8" customFormat="1" ht="12.75" x14ac:dyDescent="0.2">
      <c r="G31" s="1"/>
      <c r="H31" s="2"/>
      <c r="I31" s="1"/>
      <c r="J31" s="66"/>
      <c r="K31" s="67"/>
      <c r="L31" s="72"/>
      <c r="M31" s="67"/>
      <c r="N31" s="67"/>
      <c r="O31" s="67"/>
      <c r="P31" s="67"/>
      <c r="Q31" s="67"/>
      <c r="R31" s="67"/>
      <c r="S31" s="67"/>
      <c r="T31" s="67"/>
      <c r="U31" s="67"/>
      <c r="V31" s="4"/>
      <c r="W31" s="4"/>
      <c r="X31" s="4"/>
      <c r="Y31" s="5"/>
      <c r="Z31" s="5"/>
      <c r="AA31" s="80"/>
      <c r="AB31" s="80"/>
      <c r="AC31" s="80"/>
      <c r="AD31" s="80"/>
      <c r="AE31" s="80"/>
      <c r="AF31" s="80"/>
      <c r="AG31" s="80"/>
      <c r="AH31" s="80"/>
      <c r="AI31" s="6"/>
      <c r="AJ31" s="6"/>
      <c r="AK31" s="83"/>
      <c r="AL31" s="6"/>
      <c r="AM31" s="6"/>
      <c r="AN31" s="6"/>
      <c r="AO31" s="6"/>
      <c r="AP31" s="86"/>
      <c r="AQ31" s="86"/>
      <c r="AR31" s="86"/>
      <c r="AS31" s="86"/>
      <c r="AT31" s="86"/>
      <c r="AU31" s="86"/>
      <c r="AV31" s="86"/>
      <c r="AW31" s="86"/>
      <c r="AX31" s="86"/>
      <c r="AY31" s="86"/>
    </row>
    <row r="32" spans="7:51" s="8" customFormat="1" ht="12.75" x14ac:dyDescent="0.2">
      <c r="G32" s="1"/>
      <c r="H32" s="2"/>
      <c r="I32" s="1"/>
      <c r="J32" s="66"/>
      <c r="K32" s="67"/>
      <c r="L32" s="72"/>
      <c r="M32" s="67"/>
      <c r="N32" s="67"/>
      <c r="O32" s="67"/>
      <c r="P32" s="67"/>
      <c r="Q32" s="67"/>
      <c r="R32" s="67"/>
      <c r="S32" s="67"/>
      <c r="T32" s="67"/>
      <c r="U32" s="67"/>
      <c r="V32" s="4"/>
      <c r="W32" s="4"/>
      <c r="X32" s="4"/>
      <c r="Y32" s="5"/>
      <c r="Z32" s="5"/>
      <c r="AA32" s="80"/>
      <c r="AB32" s="80"/>
      <c r="AC32" s="80"/>
      <c r="AD32" s="80"/>
      <c r="AE32" s="80"/>
      <c r="AF32" s="80"/>
      <c r="AG32" s="80"/>
      <c r="AH32" s="80"/>
      <c r="AI32" s="6"/>
      <c r="AJ32" s="6"/>
      <c r="AK32" s="83"/>
      <c r="AL32" s="6"/>
      <c r="AM32" s="6"/>
      <c r="AN32" s="6"/>
      <c r="AO32" s="6"/>
      <c r="AP32" s="86"/>
      <c r="AQ32" s="86"/>
      <c r="AR32" s="86"/>
      <c r="AS32" s="86"/>
      <c r="AT32" s="86"/>
      <c r="AU32" s="86"/>
      <c r="AV32" s="86"/>
      <c r="AW32" s="86"/>
      <c r="AX32" s="86"/>
      <c r="AY32" s="86"/>
    </row>
    <row r="33" spans="7:51" s="8" customFormat="1" ht="12.75" x14ac:dyDescent="0.2">
      <c r="G33" s="1"/>
      <c r="H33" s="2"/>
      <c r="I33" s="1"/>
      <c r="J33" s="66"/>
      <c r="K33" s="67"/>
      <c r="L33" s="72"/>
      <c r="M33" s="67"/>
      <c r="N33" s="67"/>
      <c r="O33" s="67"/>
      <c r="P33" s="67"/>
      <c r="Q33" s="67"/>
      <c r="R33" s="67"/>
      <c r="S33" s="67"/>
      <c r="T33" s="67"/>
      <c r="U33" s="67"/>
      <c r="V33" s="4"/>
      <c r="W33" s="4"/>
      <c r="X33" s="4"/>
      <c r="Y33" s="5"/>
      <c r="Z33" s="5"/>
      <c r="AA33" s="80"/>
      <c r="AB33" s="80"/>
      <c r="AC33" s="80"/>
      <c r="AD33" s="80"/>
      <c r="AE33" s="80"/>
      <c r="AF33" s="80"/>
      <c r="AG33" s="80"/>
      <c r="AH33" s="80"/>
      <c r="AI33" s="6"/>
      <c r="AJ33" s="6"/>
      <c r="AK33" s="83"/>
      <c r="AL33" s="6"/>
      <c r="AM33" s="6"/>
      <c r="AN33" s="6"/>
      <c r="AO33" s="6"/>
      <c r="AP33" s="86"/>
      <c r="AQ33" s="86"/>
      <c r="AR33" s="86"/>
      <c r="AS33" s="86"/>
      <c r="AT33" s="86"/>
      <c r="AU33" s="86"/>
      <c r="AV33" s="86"/>
      <c r="AW33" s="86"/>
      <c r="AX33" s="86"/>
      <c r="AY33" s="86"/>
    </row>
    <row r="34" spans="7:51" s="8" customFormat="1" ht="12.75" x14ac:dyDescent="0.2">
      <c r="G34" s="1"/>
      <c r="H34" s="2"/>
      <c r="I34" s="1"/>
      <c r="J34" s="66"/>
      <c r="K34" s="67"/>
      <c r="L34" s="72"/>
      <c r="M34" s="67"/>
      <c r="N34" s="67"/>
      <c r="O34" s="67"/>
      <c r="P34" s="67"/>
      <c r="Q34" s="67"/>
      <c r="R34" s="67"/>
      <c r="S34" s="67"/>
      <c r="T34" s="67"/>
      <c r="U34" s="67"/>
      <c r="V34" s="4"/>
      <c r="W34" s="4"/>
      <c r="X34" s="4"/>
      <c r="Y34" s="5"/>
      <c r="Z34" s="5"/>
      <c r="AA34" s="80"/>
      <c r="AB34" s="80"/>
      <c r="AC34" s="80"/>
      <c r="AD34" s="80"/>
      <c r="AE34" s="80"/>
      <c r="AF34" s="80"/>
      <c r="AG34" s="80"/>
      <c r="AH34" s="80"/>
      <c r="AI34" s="6"/>
      <c r="AJ34" s="6"/>
      <c r="AK34" s="83"/>
      <c r="AL34" s="6"/>
      <c r="AM34" s="6"/>
      <c r="AN34" s="6"/>
      <c r="AO34" s="6"/>
      <c r="AP34" s="86"/>
      <c r="AQ34" s="86"/>
      <c r="AR34" s="86"/>
      <c r="AS34" s="86"/>
      <c r="AT34" s="86"/>
      <c r="AU34" s="86"/>
      <c r="AV34" s="86"/>
      <c r="AW34" s="86"/>
      <c r="AX34" s="86"/>
      <c r="AY34" s="86"/>
    </row>
    <row r="35" spans="7:51" s="8" customFormat="1" ht="12.75" x14ac:dyDescent="0.2">
      <c r="G35" s="1"/>
      <c r="H35" s="2"/>
      <c r="I35" s="1"/>
      <c r="J35" s="66"/>
      <c r="K35" s="67"/>
      <c r="L35" s="72"/>
      <c r="M35" s="67"/>
      <c r="N35" s="67"/>
      <c r="O35" s="67"/>
      <c r="P35" s="67"/>
      <c r="Q35" s="67"/>
      <c r="R35" s="67"/>
      <c r="S35" s="67"/>
      <c r="T35" s="67"/>
      <c r="U35" s="67"/>
      <c r="V35" s="4"/>
      <c r="W35" s="4"/>
      <c r="X35" s="4"/>
      <c r="Y35" s="5"/>
      <c r="Z35" s="5"/>
      <c r="AA35" s="80"/>
      <c r="AB35" s="80"/>
      <c r="AC35" s="80"/>
      <c r="AD35" s="80"/>
      <c r="AE35" s="80"/>
      <c r="AF35" s="80"/>
      <c r="AG35" s="80"/>
      <c r="AH35" s="80"/>
      <c r="AI35" s="6"/>
      <c r="AJ35" s="6"/>
      <c r="AK35" s="83"/>
      <c r="AL35" s="6"/>
      <c r="AM35" s="6"/>
      <c r="AN35" s="6"/>
      <c r="AO35" s="6"/>
      <c r="AP35" s="86"/>
      <c r="AQ35" s="86"/>
      <c r="AR35" s="86"/>
      <c r="AS35" s="86"/>
      <c r="AT35" s="86"/>
      <c r="AU35" s="86"/>
      <c r="AV35" s="86"/>
      <c r="AW35" s="86"/>
      <c r="AX35" s="86"/>
      <c r="AY35" s="86"/>
    </row>
    <row r="36" spans="7:51" s="8" customFormat="1" ht="12.75" x14ac:dyDescent="0.2">
      <c r="G36" s="1"/>
      <c r="H36" s="2"/>
      <c r="I36" s="1"/>
      <c r="J36" s="66"/>
      <c r="K36" s="67"/>
      <c r="L36" s="72"/>
      <c r="M36" s="67"/>
      <c r="N36" s="67"/>
      <c r="O36" s="67"/>
      <c r="P36" s="67"/>
      <c r="Q36" s="67"/>
      <c r="R36" s="67"/>
      <c r="S36" s="67"/>
      <c r="T36" s="67"/>
      <c r="U36" s="67"/>
      <c r="V36" s="4"/>
      <c r="W36" s="4"/>
      <c r="X36" s="4"/>
      <c r="Y36" s="5"/>
      <c r="Z36" s="5"/>
      <c r="AA36" s="80"/>
      <c r="AB36" s="80"/>
      <c r="AC36" s="80"/>
      <c r="AD36" s="80"/>
      <c r="AE36" s="80"/>
      <c r="AF36" s="80"/>
      <c r="AG36" s="80"/>
      <c r="AH36" s="80"/>
      <c r="AI36" s="6"/>
      <c r="AJ36" s="6"/>
      <c r="AK36" s="83"/>
      <c r="AL36" s="6"/>
      <c r="AM36" s="6"/>
      <c r="AN36" s="6"/>
      <c r="AO36" s="6"/>
      <c r="AP36" s="86"/>
      <c r="AQ36" s="86"/>
      <c r="AR36" s="86"/>
      <c r="AS36" s="86"/>
      <c r="AT36" s="86"/>
      <c r="AU36" s="86"/>
      <c r="AV36" s="86"/>
      <c r="AW36" s="86"/>
      <c r="AX36" s="86"/>
      <c r="AY36" s="86"/>
    </row>
    <row r="37" spans="7:51" s="8" customFormat="1" ht="12.75" x14ac:dyDescent="0.2">
      <c r="G37" s="1"/>
      <c r="H37" s="2"/>
      <c r="I37" s="1"/>
      <c r="J37" s="66"/>
      <c r="K37" s="67"/>
      <c r="L37" s="72"/>
      <c r="M37" s="67"/>
      <c r="N37" s="67"/>
      <c r="O37" s="67"/>
      <c r="P37" s="67"/>
      <c r="Q37" s="67"/>
      <c r="R37" s="67"/>
      <c r="S37" s="67"/>
      <c r="T37" s="67"/>
      <c r="U37" s="67"/>
      <c r="V37" s="4"/>
      <c r="W37" s="4"/>
      <c r="X37" s="4"/>
      <c r="Y37" s="5"/>
      <c r="Z37" s="5"/>
      <c r="AA37" s="80"/>
      <c r="AB37" s="80"/>
      <c r="AC37" s="80"/>
      <c r="AD37" s="80"/>
      <c r="AE37" s="80"/>
      <c r="AF37" s="80"/>
      <c r="AG37" s="80"/>
      <c r="AH37" s="80"/>
      <c r="AI37" s="6"/>
      <c r="AJ37" s="6"/>
      <c r="AK37" s="83"/>
      <c r="AL37" s="6"/>
      <c r="AM37" s="6"/>
      <c r="AN37" s="6"/>
      <c r="AO37" s="6"/>
      <c r="AP37" s="86"/>
      <c r="AQ37" s="86"/>
      <c r="AR37" s="86"/>
      <c r="AS37" s="86"/>
      <c r="AT37" s="86"/>
      <c r="AU37" s="86"/>
      <c r="AV37" s="86"/>
      <c r="AW37" s="86"/>
      <c r="AX37" s="86"/>
      <c r="AY37" s="86"/>
    </row>
    <row r="38" spans="7:51" s="8" customFormat="1" ht="12.75" x14ac:dyDescent="0.2">
      <c r="G38" s="1"/>
      <c r="H38" s="2"/>
      <c r="I38" s="1"/>
      <c r="J38" s="66"/>
      <c r="K38" s="67"/>
      <c r="L38" s="72"/>
      <c r="M38" s="67"/>
      <c r="N38" s="67"/>
      <c r="O38" s="67"/>
      <c r="P38" s="67"/>
      <c r="Q38" s="67"/>
      <c r="R38" s="67"/>
      <c r="S38" s="67"/>
      <c r="T38" s="67"/>
      <c r="U38" s="67"/>
      <c r="V38" s="4"/>
      <c r="W38" s="4"/>
      <c r="X38" s="4"/>
      <c r="Y38" s="5"/>
      <c r="Z38" s="5"/>
      <c r="AA38" s="80"/>
      <c r="AB38" s="80"/>
      <c r="AC38" s="80"/>
      <c r="AD38" s="80"/>
      <c r="AE38" s="80"/>
      <c r="AF38" s="80"/>
      <c r="AG38" s="80"/>
      <c r="AH38" s="80"/>
      <c r="AI38" s="6"/>
      <c r="AJ38" s="6"/>
      <c r="AK38" s="83"/>
      <c r="AL38" s="6"/>
      <c r="AM38" s="6"/>
      <c r="AN38" s="6"/>
      <c r="AO38" s="6"/>
      <c r="AP38" s="86"/>
      <c r="AQ38" s="86"/>
      <c r="AR38" s="86"/>
      <c r="AS38" s="86"/>
      <c r="AT38" s="86"/>
      <c r="AU38" s="86"/>
      <c r="AV38" s="86"/>
      <c r="AW38" s="86"/>
      <c r="AX38" s="86"/>
      <c r="AY38" s="86"/>
    </row>
    <row r="39" spans="7:51" s="8" customFormat="1" ht="12.75" x14ac:dyDescent="0.2">
      <c r="G39" s="1"/>
      <c r="H39" s="2"/>
      <c r="I39" s="1"/>
      <c r="J39" s="66"/>
      <c r="K39" s="67"/>
      <c r="L39" s="72"/>
      <c r="M39" s="67"/>
      <c r="N39" s="67"/>
      <c r="O39" s="67"/>
      <c r="P39" s="67"/>
      <c r="Q39" s="67"/>
      <c r="R39" s="67"/>
      <c r="S39" s="67"/>
      <c r="T39" s="67"/>
      <c r="U39" s="67"/>
      <c r="V39" s="4"/>
      <c r="W39" s="4"/>
      <c r="X39" s="4"/>
      <c r="Y39" s="5"/>
      <c r="Z39" s="5"/>
      <c r="AA39" s="80"/>
      <c r="AB39" s="80"/>
      <c r="AC39" s="80"/>
      <c r="AD39" s="80"/>
      <c r="AE39" s="80"/>
      <c r="AF39" s="80"/>
      <c r="AG39" s="80"/>
      <c r="AH39" s="80"/>
      <c r="AI39" s="6"/>
      <c r="AJ39" s="6"/>
      <c r="AK39" s="83"/>
      <c r="AL39" s="6"/>
      <c r="AM39" s="6"/>
      <c r="AN39" s="6"/>
      <c r="AO39" s="6"/>
      <c r="AP39" s="86"/>
      <c r="AQ39" s="86"/>
      <c r="AR39" s="86"/>
      <c r="AS39" s="86"/>
      <c r="AT39" s="86"/>
      <c r="AU39" s="86"/>
      <c r="AV39" s="86"/>
      <c r="AW39" s="86"/>
      <c r="AX39" s="86"/>
      <c r="AY39" s="86"/>
    </row>
    <row r="40" spans="7:51" s="8" customFormat="1" ht="12.75" x14ac:dyDescent="0.2">
      <c r="G40" s="1"/>
      <c r="H40" s="2"/>
      <c r="I40" s="1"/>
      <c r="J40" s="66"/>
      <c r="K40" s="67"/>
      <c r="L40" s="72"/>
      <c r="M40" s="67"/>
      <c r="N40" s="67"/>
      <c r="O40" s="67"/>
      <c r="P40" s="67"/>
      <c r="Q40" s="67"/>
      <c r="R40" s="67"/>
      <c r="S40" s="67"/>
      <c r="T40" s="67"/>
      <c r="U40" s="67"/>
      <c r="V40" s="4"/>
      <c r="W40" s="4"/>
      <c r="X40" s="4"/>
      <c r="Y40" s="5"/>
      <c r="Z40" s="5"/>
      <c r="AA40" s="80"/>
      <c r="AB40" s="80"/>
      <c r="AC40" s="80"/>
      <c r="AD40" s="80"/>
      <c r="AE40" s="80"/>
      <c r="AF40" s="80"/>
      <c r="AG40" s="80"/>
      <c r="AH40" s="80"/>
      <c r="AI40" s="6"/>
      <c r="AJ40" s="6"/>
      <c r="AK40" s="83"/>
      <c r="AL40" s="6"/>
      <c r="AM40" s="6"/>
      <c r="AN40" s="6"/>
      <c r="AO40" s="6"/>
      <c r="AP40" s="86"/>
      <c r="AQ40" s="86"/>
      <c r="AR40" s="86"/>
      <c r="AS40" s="86"/>
      <c r="AT40" s="86"/>
      <c r="AU40" s="86"/>
      <c r="AV40" s="86"/>
      <c r="AW40" s="86"/>
      <c r="AX40" s="86"/>
      <c r="AY40" s="86"/>
    </row>
    <row r="41" spans="7:51" s="8" customFormat="1" ht="12.75" x14ac:dyDescent="0.2">
      <c r="G41" s="1"/>
      <c r="H41" s="2"/>
      <c r="I41" s="1"/>
      <c r="J41" s="66"/>
      <c r="K41" s="67"/>
      <c r="L41" s="72"/>
      <c r="M41" s="67"/>
      <c r="N41" s="67"/>
      <c r="O41" s="67"/>
      <c r="P41" s="67"/>
      <c r="Q41" s="67"/>
      <c r="R41" s="67"/>
      <c r="S41" s="67"/>
      <c r="T41" s="67"/>
      <c r="U41" s="67"/>
      <c r="V41" s="4"/>
      <c r="W41" s="4"/>
      <c r="X41" s="4"/>
      <c r="Y41" s="5"/>
      <c r="Z41" s="5"/>
      <c r="AA41" s="80"/>
      <c r="AB41" s="80"/>
      <c r="AC41" s="80"/>
      <c r="AD41" s="80"/>
      <c r="AE41" s="80"/>
      <c r="AF41" s="80"/>
      <c r="AG41" s="80"/>
      <c r="AH41" s="80"/>
      <c r="AI41" s="6"/>
      <c r="AJ41" s="6"/>
      <c r="AK41" s="83"/>
      <c r="AL41" s="6"/>
      <c r="AM41" s="6"/>
      <c r="AN41" s="6"/>
      <c r="AO41" s="6"/>
      <c r="AP41" s="86"/>
      <c r="AQ41" s="86"/>
      <c r="AR41" s="86"/>
      <c r="AS41" s="86"/>
      <c r="AT41" s="86"/>
      <c r="AU41" s="86"/>
      <c r="AV41" s="86"/>
      <c r="AW41" s="86"/>
      <c r="AX41" s="86"/>
      <c r="AY41" s="86"/>
    </row>
    <row r="42" spans="7:51" s="8" customFormat="1" ht="12.75" x14ac:dyDescent="0.2">
      <c r="G42" s="1"/>
      <c r="H42" s="2"/>
      <c r="I42" s="1"/>
      <c r="J42" s="66"/>
      <c r="K42" s="67"/>
      <c r="L42" s="72"/>
      <c r="M42" s="67"/>
      <c r="N42" s="67"/>
      <c r="O42" s="67"/>
      <c r="P42" s="67"/>
      <c r="Q42" s="67"/>
      <c r="R42" s="67"/>
      <c r="S42" s="67"/>
      <c r="T42" s="67"/>
      <c r="U42" s="67"/>
      <c r="V42" s="4"/>
      <c r="W42" s="4"/>
      <c r="X42" s="4"/>
      <c r="Y42" s="5"/>
      <c r="Z42" s="5"/>
      <c r="AA42" s="80"/>
      <c r="AB42" s="80"/>
      <c r="AC42" s="80"/>
      <c r="AD42" s="80"/>
      <c r="AE42" s="80"/>
      <c r="AF42" s="80"/>
      <c r="AG42" s="80"/>
      <c r="AH42" s="80"/>
      <c r="AI42" s="6"/>
      <c r="AJ42" s="6"/>
      <c r="AK42" s="83"/>
      <c r="AL42" s="6"/>
      <c r="AM42" s="6"/>
      <c r="AN42" s="6"/>
      <c r="AO42" s="6"/>
      <c r="AP42" s="86"/>
      <c r="AQ42" s="86"/>
      <c r="AR42" s="86"/>
      <c r="AS42" s="86"/>
      <c r="AT42" s="86"/>
      <c r="AU42" s="86"/>
      <c r="AV42" s="86"/>
      <c r="AW42" s="86"/>
      <c r="AX42" s="86"/>
      <c r="AY42" s="86"/>
    </row>
    <row r="43" spans="7:51" s="8" customFormat="1" ht="12.75" x14ac:dyDescent="0.2">
      <c r="G43" s="1"/>
      <c r="H43" s="2"/>
      <c r="I43" s="1"/>
      <c r="J43" s="66"/>
      <c r="K43" s="67"/>
      <c r="L43" s="72"/>
      <c r="M43" s="67"/>
      <c r="N43" s="67"/>
      <c r="O43" s="67"/>
      <c r="P43" s="67"/>
      <c r="Q43" s="67"/>
      <c r="R43" s="67"/>
      <c r="S43" s="67"/>
      <c r="T43" s="67"/>
      <c r="U43" s="67"/>
      <c r="V43" s="4"/>
      <c r="W43" s="4"/>
      <c r="X43" s="4"/>
      <c r="Y43" s="5"/>
      <c r="Z43" s="5"/>
      <c r="AA43" s="80"/>
      <c r="AB43" s="80"/>
      <c r="AC43" s="80"/>
      <c r="AD43" s="80"/>
      <c r="AE43" s="80"/>
      <c r="AF43" s="80"/>
      <c r="AG43" s="80"/>
      <c r="AH43" s="80"/>
      <c r="AI43" s="6"/>
      <c r="AJ43" s="6"/>
      <c r="AK43" s="83"/>
      <c r="AL43" s="6"/>
      <c r="AM43" s="6"/>
      <c r="AN43" s="6"/>
      <c r="AO43" s="6"/>
      <c r="AP43" s="86"/>
      <c r="AQ43" s="86"/>
      <c r="AR43" s="86"/>
      <c r="AS43" s="86"/>
      <c r="AT43" s="86"/>
      <c r="AU43" s="86"/>
      <c r="AV43" s="86"/>
      <c r="AW43" s="86"/>
      <c r="AX43" s="86"/>
      <c r="AY43" s="86"/>
    </row>
    <row r="44" spans="7:51" s="8" customFormat="1" ht="12.75" x14ac:dyDescent="0.2">
      <c r="G44" s="1"/>
      <c r="H44" s="2"/>
      <c r="I44" s="1"/>
      <c r="J44" s="66"/>
      <c r="K44" s="67"/>
      <c r="L44" s="72"/>
      <c r="M44" s="67"/>
      <c r="N44" s="67"/>
      <c r="O44" s="67"/>
      <c r="P44" s="67"/>
      <c r="Q44" s="67"/>
      <c r="R44" s="67"/>
      <c r="S44" s="67"/>
      <c r="T44" s="67"/>
      <c r="U44" s="67"/>
      <c r="V44" s="4"/>
      <c r="W44" s="4"/>
      <c r="X44" s="4"/>
      <c r="Y44" s="5"/>
      <c r="Z44" s="5"/>
      <c r="AA44" s="80"/>
      <c r="AB44" s="80"/>
      <c r="AC44" s="80"/>
      <c r="AD44" s="80"/>
      <c r="AE44" s="80"/>
      <c r="AF44" s="80"/>
      <c r="AG44" s="80"/>
      <c r="AH44" s="80"/>
      <c r="AI44" s="6"/>
      <c r="AJ44" s="6"/>
      <c r="AK44" s="83"/>
      <c r="AL44" s="6"/>
      <c r="AM44" s="6"/>
      <c r="AN44" s="6"/>
      <c r="AO44" s="6"/>
      <c r="AP44" s="86"/>
      <c r="AQ44" s="86"/>
      <c r="AR44" s="86"/>
      <c r="AS44" s="86"/>
      <c r="AT44" s="86"/>
      <c r="AU44" s="86"/>
      <c r="AV44" s="86"/>
      <c r="AW44" s="86"/>
      <c r="AX44" s="86"/>
      <c r="AY44" s="86"/>
    </row>
    <row r="45" spans="7:51" s="8" customFormat="1" ht="12.75" x14ac:dyDescent="0.2">
      <c r="G45" s="1"/>
      <c r="H45" s="2"/>
      <c r="I45" s="1"/>
      <c r="J45" s="66"/>
      <c r="K45" s="67"/>
      <c r="L45" s="72"/>
      <c r="M45" s="67"/>
      <c r="N45" s="67"/>
      <c r="O45" s="67"/>
      <c r="P45" s="67"/>
      <c r="Q45" s="67"/>
      <c r="R45" s="67"/>
      <c r="S45" s="67"/>
      <c r="T45" s="67"/>
      <c r="U45" s="67"/>
      <c r="V45" s="4"/>
      <c r="W45" s="4"/>
      <c r="X45" s="4"/>
      <c r="Y45" s="5"/>
      <c r="Z45" s="5"/>
      <c r="AA45" s="80"/>
      <c r="AB45" s="80"/>
      <c r="AC45" s="80"/>
      <c r="AD45" s="80"/>
      <c r="AE45" s="80"/>
      <c r="AF45" s="80"/>
      <c r="AG45" s="80"/>
      <c r="AH45" s="80"/>
      <c r="AI45" s="6"/>
      <c r="AJ45" s="6"/>
      <c r="AK45" s="83"/>
      <c r="AL45" s="6"/>
      <c r="AM45" s="6"/>
      <c r="AN45" s="6"/>
      <c r="AO45" s="6"/>
      <c r="AP45" s="86"/>
      <c r="AQ45" s="86"/>
      <c r="AR45" s="86"/>
      <c r="AS45" s="86"/>
      <c r="AT45" s="86"/>
      <c r="AU45" s="86"/>
      <c r="AV45" s="86"/>
      <c r="AW45" s="86"/>
      <c r="AX45" s="86"/>
      <c r="AY45" s="86"/>
    </row>
    <row r="46" spans="7:51" s="8" customFormat="1" ht="12.75" x14ac:dyDescent="0.2">
      <c r="G46" s="1"/>
      <c r="H46" s="2"/>
      <c r="I46" s="1"/>
      <c r="J46" s="66"/>
      <c r="K46" s="67"/>
      <c r="L46" s="72"/>
      <c r="M46" s="67"/>
      <c r="N46" s="67"/>
      <c r="O46" s="67"/>
      <c r="P46" s="67"/>
      <c r="Q46" s="67"/>
      <c r="R46" s="67"/>
      <c r="S46" s="67"/>
      <c r="T46" s="67"/>
      <c r="U46" s="67"/>
      <c r="V46" s="4"/>
      <c r="W46" s="4"/>
      <c r="X46" s="4"/>
      <c r="Y46" s="5"/>
      <c r="Z46" s="5"/>
      <c r="AA46" s="80"/>
      <c r="AB46" s="80"/>
      <c r="AC46" s="80"/>
      <c r="AD46" s="80"/>
      <c r="AE46" s="80"/>
      <c r="AF46" s="80"/>
      <c r="AG46" s="80"/>
      <c r="AH46" s="80"/>
      <c r="AI46" s="6"/>
      <c r="AJ46" s="6"/>
      <c r="AK46" s="83"/>
      <c r="AL46" s="6"/>
      <c r="AM46" s="6"/>
      <c r="AN46" s="6"/>
      <c r="AO46" s="6"/>
      <c r="AP46" s="86"/>
      <c r="AQ46" s="86"/>
      <c r="AR46" s="86"/>
      <c r="AS46" s="86"/>
      <c r="AT46" s="86"/>
      <c r="AU46" s="86"/>
      <c r="AV46" s="86"/>
      <c r="AW46" s="86"/>
      <c r="AX46" s="86"/>
      <c r="AY46" s="86"/>
    </row>
    <row r="47" spans="7:51" s="8" customFormat="1" ht="12.75" x14ac:dyDescent="0.2">
      <c r="G47" s="1"/>
      <c r="H47" s="2"/>
      <c r="I47" s="1"/>
      <c r="J47" s="66"/>
      <c r="K47" s="67"/>
      <c r="L47" s="72"/>
      <c r="M47" s="67"/>
      <c r="N47" s="67"/>
      <c r="O47" s="67"/>
      <c r="P47" s="67"/>
      <c r="Q47" s="67"/>
      <c r="R47" s="67"/>
      <c r="S47" s="67"/>
      <c r="T47" s="67"/>
      <c r="U47" s="67"/>
      <c r="V47" s="4"/>
      <c r="W47" s="4"/>
      <c r="X47" s="4"/>
      <c r="Y47" s="5"/>
      <c r="Z47" s="5"/>
      <c r="AA47" s="80"/>
      <c r="AB47" s="80"/>
      <c r="AC47" s="80"/>
      <c r="AD47" s="80"/>
      <c r="AE47" s="80"/>
      <c r="AF47" s="80"/>
      <c r="AG47" s="80"/>
      <c r="AH47" s="80"/>
      <c r="AI47" s="6"/>
      <c r="AJ47" s="6"/>
      <c r="AK47" s="83"/>
      <c r="AL47" s="6"/>
      <c r="AM47" s="6"/>
      <c r="AN47" s="6"/>
      <c r="AO47" s="6"/>
      <c r="AP47" s="86"/>
      <c r="AQ47" s="86"/>
      <c r="AR47" s="86"/>
      <c r="AS47" s="86"/>
      <c r="AT47" s="86"/>
      <c r="AU47" s="86"/>
      <c r="AV47" s="86"/>
      <c r="AW47" s="86"/>
      <c r="AX47" s="86"/>
      <c r="AY47" s="86"/>
    </row>
    <row r="48" spans="7:51" s="8" customFormat="1" ht="12.75" x14ac:dyDescent="0.2">
      <c r="G48" s="1"/>
      <c r="H48" s="2"/>
      <c r="I48" s="1"/>
      <c r="J48" s="66"/>
      <c r="K48" s="67"/>
      <c r="L48" s="72"/>
      <c r="M48" s="67"/>
      <c r="N48" s="67"/>
      <c r="O48" s="67"/>
      <c r="P48" s="67"/>
      <c r="Q48" s="67"/>
      <c r="R48" s="67"/>
      <c r="S48" s="67"/>
      <c r="T48" s="67"/>
      <c r="U48" s="67"/>
      <c r="V48" s="4"/>
      <c r="W48" s="4"/>
      <c r="X48" s="4"/>
      <c r="Y48" s="5"/>
      <c r="Z48" s="5"/>
      <c r="AA48" s="80"/>
      <c r="AB48" s="80"/>
      <c r="AC48" s="80"/>
      <c r="AD48" s="80"/>
      <c r="AE48" s="80"/>
      <c r="AF48" s="80"/>
      <c r="AG48" s="80"/>
      <c r="AH48" s="80"/>
      <c r="AI48" s="6"/>
      <c r="AJ48" s="6"/>
      <c r="AK48" s="83"/>
      <c r="AL48" s="6"/>
      <c r="AM48" s="6"/>
      <c r="AN48" s="6"/>
      <c r="AO48" s="6"/>
      <c r="AP48" s="86"/>
      <c r="AQ48" s="86"/>
      <c r="AR48" s="86"/>
      <c r="AS48" s="86"/>
      <c r="AT48" s="86"/>
      <c r="AU48" s="86"/>
      <c r="AV48" s="86"/>
      <c r="AW48" s="86"/>
      <c r="AX48" s="86"/>
      <c r="AY48" s="86"/>
    </row>
    <row r="49" spans="7:51" s="8" customFormat="1" ht="12.75" x14ac:dyDescent="0.2">
      <c r="G49" s="1"/>
      <c r="H49" s="2"/>
      <c r="I49" s="1"/>
      <c r="J49" s="66"/>
      <c r="K49" s="67"/>
      <c r="L49" s="72"/>
      <c r="M49" s="67"/>
      <c r="N49" s="67"/>
      <c r="O49" s="67"/>
      <c r="P49" s="67"/>
      <c r="Q49" s="67"/>
      <c r="R49" s="67"/>
      <c r="S49" s="67"/>
      <c r="T49" s="67"/>
      <c r="U49" s="67"/>
      <c r="V49" s="4"/>
      <c r="W49" s="4"/>
      <c r="X49" s="4"/>
      <c r="Y49" s="5"/>
      <c r="Z49" s="5"/>
      <c r="AA49" s="80"/>
      <c r="AB49" s="80"/>
      <c r="AC49" s="80"/>
      <c r="AD49" s="80"/>
      <c r="AE49" s="80"/>
      <c r="AF49" s="80"/>
      <c r="AG49" s="80"/>
      <c r="AH49" s="80"/>
      <c r="AI49" s="6"/>
      <c r="AJ49" s="6"/>
      <c r="AK49" s="83"/>
      <c r="AL49" s="6"/>
      <c r="AM49" s="6"/>
      <c r="AN49" s="6"/>
      <c r="AO49" s="6"/>
      <c r="AP49" s="86"/>
      <c r="AQ49" s="86"/>
      <c r="AR49" s="86"/>
      <c r="AS49" s="86"/>
      <c r="AT49" s="86"/>
      <c r="AU49" s="86"/>
      <c r="AV49" s="86"/>
      <c r="AW49" s="86"/>
      <c r="AX49" s="86"/>
      <c r="AY49" s="86"/>
    </row>
    <row r="50" spans="7:51" s="8" customFormat="1" ht="12.75" x14ac:dyDescent="0.2">
      <c r="G50" s="1"/>
      <c r="H50" s="2"/>
      <c r="I50" s="1"/>
      <c r="J50" s="66"/>
      <c r="K50" s="67"/>
      <c r="L50" s="72"/>
      <c r="M50" s="67"/>
      <c r="N50" s="67"/>
      <c r="O50" s="67"/>
      <c r="P50" s="67"/>
      <c r="Q50" s="67"/>
      <c r="R50" s="67"/>
      <c r="S50" s="67"/>
      <c r="T50" s="67"/>
      <c r="U50" s="67"/>
      <c r="V50" s="4"/>
      <c r="W50" s="4"/>
      <c r="X50" s="4"/>
      <c r="Y50" s="5"/>
      <c r="Z50" s="5"/>
      <c r="AA50" s="80"/>
      <c r="AB50" s="80"/>
      <c r="AC50" s="80"/>
      <c r="AD50" s="80"/>
      <c r="AE50" s="80"/>
      <c r="AF50" s="80"/>
      <c r="AG50" s="80"/>
      <c r="AH50" s="80"/>
      <c r="AI50" s="6"/>
      <c r="AJ50" s="6"/>
      <c r="AK50" s="83"/>
      <c r="AL50" s="6"/>
      <c r="AM50" s="6"/>
      <c r="AN50" s="6"/>
      <c r="AO50" s="6"/>
      <c r="AP50" s="86"/>
      <c r="AQ50" s="86"/>
      <c r="AR50" s="86"/>
      <c r="AS50" s="86"/>
      <c r="AT50" s="86"/>
      <c r="AU50" s="86"/>
      <c r="AV50" s="86"/>
      <c r="AW50" s="86"/>
      <c r="AX50" s="86"/>
      <c r="AY50" s="86"/>
    </row>
    <row r="51" spans="7:51" s="8" customFormat="1" ht="12.75" x14ac:dyDescent="0.2">
      <c r="G51" s="1"/>
      <c r="H51" s="2"/>
      <c r="I51" s="1"/>
      <c r="J51" s="66"/>
      <c r="K51" s="67"/>
      <c r="L51" s="72"/>
      <c r="M51" s="67"/>
      <c r="N51" s="67"/>
      <c r="O51" s="67"/>
      <c r="P51" s="67"/>
      <c r="Q51" s="67"/>
      <c r="R51" s="67"/>
      <c r="S51" s="67"/>
      <c r="T51" s="67"/>
      <c r="U51" s="67"/>
      <c r="V51" s="4"/>
      <c r="W51" s="4"/>
      <c r="X51" s="4"/>
      <c r="Y51" s="5"/>
      <c r="Z51" s="5"/>
      <c r="AA51" s="80"/>
      <c r="AB51" s="80"/>
      <c r="AC51" s="80"/>
      <c r="AD51" s="80"/>
      <c r="AE51" s="80"/>
      <c r="AF51" s="80"/>
      <c r="AG51" s="80"/>
      <c r="AH51" s="80"/>
      <c r="AI51" s="6"/>
      <c r="AJ51" s="6"/>
      <c r="AK51" s="83"/>
      <c r="AL51" s="6"/>
      <c r="AM51" s="6"/>
      <c r="AN51" s="6"/>
      <c r="AO51" s="6"/>
      <c r="AP51" s="86"/>
      <c r="AQ51" s="86"/>
      <c r="AR51" s="86"/>
      <c r="AS51" s="86"/>
      <c r="AT51" s="86"/>
      <c r="AU51" s="86"/>
      <c r="AV51" s="86"/>
      <c r="AW51" s="86"/>
      <c r="AX51" s="86"/>
      <c r="AY51" s="86"/>
    </row>
    <row r="52" spans="7:51" s="8" customFormat="1" ht="12.75" x14ac:dyDescent="0.2">
      <c r="G52" s="1"/>
      <c r="H52" s="2"/>
      <c r="I52" s="1"/>
      <c r="J52" s="66"/>
      <c r="K52" s="67"/>
      <c r="L52" s="72"/>
      <c r="M52" s="67"/>
      <c r="N52" s="67"/>
      <c r="O52" s="67"/>
      <c r="P52" s="67"/>
      <c r="Q52" s="67"/>
      <c r="R52" s="67"/>
      <c r="S52" s="67"/>
      <c r="T52" s="67"/>
      <c r="U52" s="67"/>
      <c r="V52" s="4"/>
      <c r="W52" s="4"/>
      <c r="X52" s="4"/>
      <c r="Y52" s="5"/>
      <c r="Z52" s="5"/>
      <c r="AA52" s="80"/>
      <c r="AB52" s="80"/>
      <c r="AC52" s="80"/>
      <c r="AD52" s="80"/>
      <c r="AE52" s="80"/>
      <c r="AF52" s="80"/>
      <c r="AG52" s="80"/>
      <c r="AH52" s="80"/>
      <c r="AI52" s="6"/>
      <c r="AJ52" s="6"/>
      <c r="AK52" s="83"/>
      <c r="AL52" s="6"/>
      <c r="AM52" s="6"/>
      <c r="AN52" s="6"/>
      <c r="AO52" s="6"/>
      <c r="AP52" s="86"/>
      <c r="AQ52" s="86"/>
      <c r="AR52" s="86"/>
      <c r="AS52" s="86"/>
      <c r="AT52" s="86"/>
      <c r="AU52" s="86"/>
      <c r="AV52" s="86"/>
      <c r="AW52" s="86"/>
      <c r="AX52" s="86"/>
      <c r="AY52" s="86"/>
    </row>
    <row r="53" spans="7:51" s="8" customFormat="1" ht="12.75" x14ac:dyDescent="0.2">
      <c r="G53" s="1"/>
      <c r="H53" s="2"/>
      <c r="I53" s="1"/>
      <c r="J53" s="66"/>
      <c r="K53" s="67"/>
      <c r="L53" s="72"/>
      <c r="M53" s="67"/>
      <c r="N53" s="67"/>
      <c r="O53" s="67"/>
      <c r="P53" s="67"/>
      <c r="Q53" s="67"/>
      <c r="R53" s="67"/>
      <c r="S53" s="67"/>
      <c r="T53" s="67"/>
      <c r="U53" s="67"/>
      <c r="V53" s="4"/>
      <c r="W53" s="4"/>
      <c r="X53" s="4"/>
      <c r="Y53" s="5"/>
      <c r="Z53" s="5"/>
      <c r="AA53" s="80"/>
      <c r="AB53" s="80"/>
      <c r="AC53" s="80"/>
      <c r="AD53" s="80"/>
      <c r="AE53" s="80"/>
      <c r="AF53" s="80"/>
      <c r="AG53" s="80"/>
      <c r="AH53" s="80"/>
      <c r="AI53" s="6"/>
      <c r="AJ53" s="6"/>
      <c r="AK53" s="83"/>
      <c r="AL53" s="6"/>
      <c r="AM53" s="6"/>
      <c r="AN53" s="6"/>
      <c r="AO53" s="6"/>
      <c r="AP53" s="86"/>
      <c r="AQ53" s="86"/>
      <c r="AR53" s="86"/>
      <c r="AS53" s="86"/>
      <c r="AT53" s="86"/>
      <c r="AU53" s="86"/>
      <c r="AV53" s="86"/>
      <c r="AW53" s="86"/>
      <c r="AX53" s="86"/>
      <c r="AY53" s="86"/>
    </row>
    <row r="54" spans="7:51" s="8" customFormat="1" ht="12.75" x14ac:dyDescent="0.2">
      <c r="G54" s="1"/>
      <c r="H54" s="2"/>
      <c r="I54" s="1"/>
      <c r="J54" s="66"/>
      <c r="K54" s="67"/>
      <c r="L54" s="72"/>
      <c r="M54" s="67"/>
      <c r="N54" s="67"/>
      <c r="O54" s="67"/>
      <c r="P54" s="67"/>
      <c r="Q54" s="67"/>
      <c r="R54" s="67"/>
      <c r="S54" s="67"/>
      <c r="T54" s="67"/>
      <c r="U54" s="67"/>
      <c r="V54" s="4"/>
      <c r="W54" s="4"/>
      <c r="X54" s="4"/>
      <c r="Y54" s="5"/>
      <c r="Z54" s="5"/>
      <c r="AA54" s="80"/>
      <c r="AB54" s="80"/>
      <c r="AC54" s="80"/>
      <c r="AD54" s="80"/>
      <c r="AE54" s="80"/>
      <c r="AF54" s="80"/>
      <c r="AG54" s="80"/>
      <c r="AH54" s="80"/>
      <c r="AI54" s="6"/>
      <c r="AJ54" s="6"/>
      <c r="AK54" s="83"/>
      <c r="AL54" s="6"/>
      <c r="AM54" s="6"/>
      <c r="AN54" s="6"/>
      <c r="AO54" s="6"/>
      <c r="AP54" s="86"/>
      <c r="AQ54" s="86"/>
      <c r="AR54" s="86"/>
      <c r="AS54" s="86"/>
      <c r="AT54" s="86"/>
      <c r="AU54" s="86"/>
      <c r="AV54" s="86"/>
      <c r="AW54" s="86"/>
      <c r="AX54" s="86"/>
      <c r="AY54" s="86"/>
    </row>
    <row r="55" spans="7:51" s="8" customFormat="1" ht="12.75" x14ac:dyDescent="0.2">
      <c r="G55" s="1"/>
      <c r="H55" s="2"/>
      <c r="I55" s="1"/>
      <c r="J55" s="66"/>
      <c r="K55" s="67"/>
      <c r="L55" s="72"/>
      <c r="M55" s="67"/>
      <c r="N55" s="67"/>
      <c r="O55" s="67"/>
      <c r="P55" s="67"/>
      <c r="Q55" s="67"/>
      <c r="R55" s="67"/>
      <c r="S55" s="67"/>
      <c r="T55" s="67"/>
      <c r="U55" s="67"/>
      <c r="V55" s="4"/>
      <c r="W55" s="4"/>
      <c r="X55" s="4"/>
      <c r="Y55" s="5"/>
      <c r="Z55" s="5"/>
      <c r="AA55" s="80"/>
      <c r="AB55" s="80"/>
      <c r="AC55" s="80"/>
      <c r="AD55" s="80"/>
      <c r="AE55" s="80"/>
      <c r="AF55" s="80"/>
      <c r="AG55" s="80"/>
      <c r="AH55" s="80"/>
      <c r="AI55" s="6"/>
      <c r="AJ55" s="6"/>
      <c r="AK55" s="83"/>
      <c r="AL55" s="6"/>
      <c r="AM55" s="6"/>
      <c r="AN55" s="6"/>
      <c r="AO55" s="6"/>
      <c r="AP55" s="86"/>
      <c r="AQ55" s="86"/>
      <c r="AR55" s="86"/>
      <c r="AS55" s="86"/>
      <c r="AT55" s="86"/>
      <c r="AU55" s="86"/>
      <c r="AV55" s="86"/>
      <c r="AW55" s="86"/>
      <c r="AX55" s="86"/>
      <c r="AY55" s="86"/>
    </row>
    <row r="56" spans="7:51" s="8" customFormat="1" ht="12.75" x14ac:dyDescent="0.2">
      <c r="G56" s="1"/>
      <c r="H56" s="2"/>
      <c r="I56" s="1"/>
      <c r="J56" s="66"/>
      <c r="K56" s="67"/>
      <c r="L56" s="72"/>
      <c r="M56" s="67"/>
      <c r="N56" s="67"/>
      <c r="O56" s="67"/>
      <c r="P56" s="67"/>
      <c r="Q56" s="67"/>
      <c r="R56" s="67"/>
      <c r="S56" s="67"/>
      <c r="T56" s="67"/>
      <c r="U56" s="67"/>
      <c r="V56" s="4"/>
      <c r="W56" s="4"/>
      <c r="X56" s="4"/>
      <c r="Y56" s="5"/>
      <c r="Z56" s="5"/>
      <c r="AA56" s="80"/>
      <c r="AB56" s="80"/>
      <c r="AC56" s="80"/>
      <c r="AD56" s="80"/>
      <c r="AE56" s="80"/>
      <c r="AF56" s="80"/>
      <c r="AG56" s="80"/>
      <c r="AH56" s="80"/>
      <c r="AI56" s="6"/>
      <c r="AJ56" s="6"/>
      <c r="AK56" s="83"/>
      <c r="AL56" s="6"/>
      <c r="AM56" s="6"/>
      <c r="AN56" s="6"/>
      <c r="AO56" s="6"/>
      <c r="AP56" s="86"/>
      <c r="AQ56" s="86"/>
      <c r="AR56" s="86"/>
      <c r="AS56" s="86"/>
      <c r="AT56" s="86"/>
      <c r="AU56" s="86"/>
      <c r="AV56" s="86"/>
      <c r="AW56" s="86"/>
      <c r="AX56" s="86"/>
      <c r="AY56" s="86"/>
    </row>
    <row r="57" spans="7:51" s="8" customFormat="1" ht="12.75" x14ac:dyDescent="0.2">
      <c r="G57" s="1"/>
      <c r="H57" s="2"/>
      <c r="I57" s="1"/>
      <c r="J57" s="66"/>
      <c r="K57" s="67"/>
      <c r="L57" s="72"/>
      <c r="M57" s="67"/>
      <c r="N57" s="67"/>
      <c r="O57" s="67"/>
      <c r="P57" s="67"/>
      <c r="Q57" s="67"/>
      <c r="R57" s="67"/>
      <c r="S57" s="67"/>
      <c r="T57" s="67"/>
      <c r="U57" s="67"/>
      <c r="V57" s="4"/>
      <c r="W57" s="4"/>
      <c r="X57" s="4"/>
      <c r="Y57" s="5"/>
      <c r="Z57" s="5"/>
      <c r="AA57" s="80"/>
      <c r="AB57" s="80"/>
      <c r="AC57" s="80"/>
      <c r="AD57" s="80"/>
      <c r="AE57" s="80"/>
      <c r="AF57" s="80"/>
      <c r="AG57" s="80"/>
      <c r="AH57" s="80"/>
      <c r="AI57" s="6"/>
      <c r="AJ57" s="6"/>
      <c r="AK57" s="83"/>
      <c r="AL57" s="6"/>
      <c r="AM57" s="6"/>
      <c r="AN57" s="6"/>
      <c r="AO57" s="6"/>
      <c r="AP57" s="86"/>
      <c r="AQ57" s="86"/>
      <c r="AR57" s="86"/>
      <c r="AS57" s="86"/>
      <c r="AT57" s="86"/>
      <c r="AU57" s="86"/>
      <c r="AV57" s="86"/>
      <c r="AW57" s="86"/>
      <c r="AX57" s="86"/>
      <c r="AY57" s="86"/>
    </row>
    <row r="58" spans="7:51" s="8" customFormat="1" ht="12.75" x14ac:dyDescent="0.2">
      <c r="G58" s="1"/>
      <c r="H58" s="2"/>
      <c r="I58" s="1"/>
      <c r="J58" s="66"/>
      <c r="K58" s="67"/>
      <c r="L58" s="72"/>
      <c r="M58" s="67"/>
      <c r="N58" s="67"/>
      <c r="O58" s="67"/>
      <c r="P58" s="67"/>
      <c r="Q58" s="67"/>
      <c r="R58" s="67"/>
      <c r="S58" s="67"/>
      <c r="T58" s="67"/>
      <c r="U58" s="67"/>
      <c r="V58" s="4"/>
      <c r="W58" s="4"/>
      <c r="X58" s="4"/>
      <c r="Y58" s="5"/>
      <c r="Z58" s="5"/>
      <c r="AA58" s="80"/>
      <c r="AB58" s="80"/>
      <c r="AC58" s="80"/>
      <c r="AD58" s="80"/>
      <c r="AE58" s="80"/>
      <c r="AF58" s="80"/>
      <c r="AG58" s="80"/>
      <c r="AH58" s="80"/>
      <c r="AI58" s="6"/>
      <c r="AJ58" s="6"/>
      <c r="AK58" s="83"/>
      <c r="AL58" s="6"/>
      <c r="AM58" s="6"/>
      <c r="AN58" s="6"/>
      <c r="AO58" s="6"/>
      <c r="AP58" s="86"/>
      <c r="AQ58" s="86"/>
      <c r="AR58" s="86"/>
      <c r="AS58" s="86"/>
      <c r="AT58" s="86"/>
      <c r="AU58" s="86"/>
      <c r="AV58" s="86"/>
      <c r="AW58" s="86"/>
      <c r="AX58" s="86"/>
      <c r="AY58" s="86"/>
    </row>
    <row r="59" spans="7:51" s="8" customFormat="1" ht="12.75" x14ac:dyDescent="0.2">
      <c r="G59" s="1"/>
      <c r="H59" s="2"/>
      <c r="I59" s="1"/>
      <c r="J59" s="66"/>
      <c r="K59" s="67"/>
      <c r="L59" s="72"/>
      <c r="M59" s="67"/>
      <c r="N59" s="67"/>
      <c r="O59" s="67"/>
      <c r="P59" s="67"/>
      <c r="Q59" s="67"/>
      <c r="R59" s="67"/>
      <c r="S59" s="67"/>
      <c r="T59" s="67"/>
      <c r="U59" s="67"/>
      <c r="V59" s="4"/>
      <c r="W59" s="4"/>
      <c r="X59" s="4"/>
      <c r="Y59" s="5"/>
      <c r="Z59" s="5"/>
      <c r="AA59" s="80"/>
      <c r="AB59" s="80"/>
      <c r="AC59" s="80"/>
      <c r="AD59" s="80"/>
      <c r="AE59" s="80"/>
      <c r="AF59" s="80"/>
      <c r="AG59" s="80"/>
      <c r="AH59" s="80"/>
      <c r="AI59" s="6"/>
      <c r="AJ59" s="6"/>
      <c r="AK59" s="83"/>
      <c r="AL59" s="6"/>
      <c r="AM59" s="6"/>
      <c r="AN59" s="6"/>
      <c r="AO59" s="6"/>
      <c r="AP59" s="86"/>
      <c r="AQ59" s="86"/>
      <c r="AR59" s="86"/>
      <c r="AS59" s="86"/>
      <c r="AT59" s="86"/>
      <c r="AU59" s="86"/>
      <c r="AV59" s="86"/>
      <c r="AW59" s="86"/>
      <c r="AX59" s="86"/>
      <c r="AY59" s="86"/>
    </row>
    <row r="60" spans="7:51" s="8" customFormat="1" ht="12.75" x14ac:dyDescent="0.2">
      <c r="G60" s="1"/>
      <c r="H60" s="2"/>
      <c r="I60" s="1"/>
      <c r="J60" s="66"/>
      <c r="K60" s="67"/>
      <c r="L60" s="72"/>
      <c r="M60" s="67"/>
      <c r="N60" s="67"/>
      <c r="O60" s="67"/>
      <c r="P60" s="67"/>
      <c r="Q60" s="67"/>
      <c r="R60" s="67"/>
      <c r="S60" s="67"/>
      <c r="T60" s="67"/>
      <c r="U60" s="67"/>
      <c r="V60" s="4"/>
      <c r="W60" s="4"/>
      <c r="X60" s="4"/>
      <c r="Y60" s="5"/>
      <c r="Z60" s="5"/>
      <c r="AA60" s="80"/>
      <c r="AB60" s="80"/>
      <c r="AC60" s="80"/>
      <c r="AD60" s="80"/>
      <c r="AE60" s="80"/>
      <c r="AF60" s="80"/>
      <c r="AG60" s="80"/>
      <c r="AH60" s="80"/>
      <c r="AI60" s="6"/>
      <c r="AJ60" s="6"/>
      <c r="AK60" s="83"/>
      <c r="AL60" s="6"/>
      <c r="AM60" s="6"/>
      <c r="AN60" s="6"/>
      <c r="AO60" s="6"/>
      <c r="AP60" s="86"/>
      <c r="AQ60" s="86"/>
      <c r="AR60" s="86"/>
      <c r="AS60" s="86"/>
      <c r="AT60" s="86"/>
      <c r="AU60" s="86"/>
      <c r="AV60" s="86"/>
      <c r="AW60" s="86"/>
      <c r="AX60" s="86"/>
      <c r="AY60" s="86"/>
    </row>
    <row r="61" spans="7:51" s="8" customFormat="1" ht="12.75" x14ac:dyDescent="0.2">
      <c r="G61" s="1"/>
      <c r="H61" s="2"/>
      <c r="I61" s="1"/>
      <c r="J61" s="66"/>
      <c r="K61" s="67"/>
      <c r="L61" s="72"/>
      <c r="M61" s="67"/>
      <c r="N61" s="67"/>
      <c r="O61" s="67"/>
      <c r="P61" s="67"/>
      <c r="Q61" s="67"/>
      <c r="R61" s="67"/>
      <c r="S61" s="67"/>
      <c r="T61" s="67"/>
      <c r="U61" s="67"/>
      <c r="V61" s="4"/>
      <c r="W61" s="4"/>
      <c r="X61" s="4"/>
      <c r="Y61" s="5"/>
      <c r="Z61" s="5"/>
      <c r="AA61" s="80"/>
      <c r="AB61" s="80"/>
      <c r="AC61" s="80"/>
      <c r="AD61" s="80"/>
      <c r="AE61" s="80"/>
      <c r="AF61" s="80"/>
      <c r="AG61" s="80"/>
      <c r="AH61" s="80"/>
      <c r="AI61" s="6"/>
      <c r="AJ61" s="6"/>
      <c r="AK61" s="83"/>
      <c r="AL61" s="6"/>
      <c r="AM61" s="6"/>
      <c r="AN61" s="6"/>
      <c r="AO61" s="6"/>
      <c r="AP61" s="86"/>
      <c r="AQ61" s="86"/>
      <c r="AR61" s="86"/>
      <c r="AS61" s="86"/>
      <c r="AT61" s="86"/>
      <c r="AU61" s="86"/>
      <c r="AV61" s="86"/>
      <c r="AW61" s="86"/>
      <c r="AX61" s="86"/>
      <c r="AY61" s="86"/>
    </row>
    <row r="62" spans="7:51" s="8" customFormat="1" ht="12.75" x14ac:dyDescent="0.2">
      <c r="G62" s="1"/>
      <c r="H62" s="2"/>
      <c r="I62" s="1"/>
      <c r="J62" s="66"/>
      <c r="K62" s="67"/>
      <c r="L62" s="72"/>
      <c r="M62" s="67"/>
      <c r="N62" s="67"/>
      <c r="O62" s="67"/>
      <c r="P62" s="67"/>
      <c r="Q62" s="67"/>
      <c r="R62" s="67"/>
      <c r="S62" s="67"/>
      <c r="T62" s="67"/>
      <c r="U62" s="67"/>
      <c r="V62" s="4"/>
      <c r="W62" s="4"/>
      <c r="X62" s="4"/>
      <c r="Y62" s="5"/>
      <c r="Z62" s="5"/>
      <c r="AA62" s="80"/>
      <c r="AB62" s="80"/>
      <c r="AC62" s="80"/>
      <c r="AD62" s="80"/>
      <c r="AE62" s="80"/>
      <c r="AF62" s="80"/>
      <c r="AG62" s="80"/>
      <c r="AH62" s="80"/>
      <c r="AI62" s="6"/>
      <c r="AJ62" s="6"/>
      <c r="AK62" s="83"/>
      <c r="AL62" s="6"/>
      <c r="AM62" s="6"/>
      <c r="AN62" s="6"/>
      <c r="AO62" s="6"/>
      <c r="AP62" s="86"/>
      <c r="AQ62" s="86"/>
      <c r="AR62" s="86"/>
      <c r="AS62" s="86"/>
      <c r="AT62" s="86"/>
      <c r="AU62" s="86"/>
      <c r="AV62" s="86"/>
      <c r="AW62" s="86"/>
      <c r="AX62" s="86"/>
      <c r="AY62" s="86"/>
    </row>
    <row r="63" spans="7:51" s="8" customFormat="1" ht="12.75" x14ac:dyDescent="0.2">
      <c r="G63" s="1"/>
      <c r="H63" s="2"/>
      <c r="I63" s="1"/>
      <c r="J63" s="66"/>
      <c r="K63" s="67"/>
      <c r="L63" s="72"/>
      <c r="M63" s="67"/>
      <c r="N63" s="67"/>
      <c r="O63" s="67"/>
      <c r="P63" s="67"/>
      <c r="Q63" s="67"/>
      <c r="R63" s="67"/>
      <c r="S63" s="67"/>
      <c r="T63" s="67"/>
      <c r="U63" s="67"/>
      <c r="V63" s="4"/>
      <c r="W63" s="4"/>
      <c r="X63" s="4"/>
      <c r="Y63" s="5"/>
      <c r="Z63" s="5"/>
      <c r="AA63" s="80"/>
      <c r="AB63" s="80"/>
      <c r="AC63" s="80"/>
      <c r="AD63" s="80"/>
      <c r="AE63" s="80"/>
      <c r="AF63" s="80"/>
      <c r="AG63" s="80"/>
      <c r="AH63" s="80"/>
      <c r="AI63" s="6"/>
      <c r="AJ63" s="6"/>
      <c r="AK63" s="83"/>
      <c r="AL63" s="6"/>
      <c r="AM63" s="6"/>
      <c r="AN63" s="6"/>
      <c r="AO63" s="6"/>
      <c r="AP63" s="86"/>
      <c r="AQ63" s="86"/>
      <c r="AR63" s="86"/>
      <c r="AS63" s="86"/>
      <c r="AT63" s="86"/>
      <c r="AU63" s="86"/>
      <c r="AV63" s="86"/>
      <c r="AW63" s="86"/>
      <c r="AX63" s="86"/>
      <c r="AY63" s="86"/>
    </row>
    <row r="64" spans="7:51" s="8" customFormat="1" ht="12.75" x14ac:dyDescent="0.2">
      <c r="G64" s="1"/>
      <c r="H64" s="2"/>
      <c r="I64" s="1"/>
      <c r="J64" s="66"/>
      <c r="K64" s="67"/>
      <c r="L64" s="72"/>
      <c r="M64" s="67"/>
      <c r="N64" s="67"/>
      <c r="O64" s="67"/>
      <c r="P64" s="67"/>
      <c r="Q64" s="67"/>
      <c r="R64" s="67"/>
      <c r="S64" s="67"/>
      <c r="T64" s="67"/>
      <c r="U64" s="67"/>
      <c r="V64" s="4"/>
      <c r="W64" s="4"/>
      <c r="X64" s="4"/>
      <c r="Y64" s="5"/>
      <c r="Z64" s="5"/>
      <c r="AA64" s="80"/>
      <c r="AB64" s="80"/>
      <c r="AC64" s="80"/>
      <c r="AD64" s="80"/>
      <c r="AE64" s="80"/>
      <c r="AF64" s="80"/>
      <c r="AG64" s="80"/>
      <c r="AH64" s="80"/>
      <c r="AI64" s="6"/>
      <c r="AJ64" s="6"/>
      <c r="AK64" s="83"/>
      <c r="AL64" s="6"/>
      <c r="AM64" s="6"/>
      <c r="AN64" s="6"/>
      <c r="AO64" s="6"/>
      <c r="AP64" s="86"/>
      <c r="AQ64" s="86"/>
      <c r="AR64" s="86"/>
      <c r="AS64" s="86"/>
      <c r="AT64" s="86"/>
      <c r="AU64" s="86"/>
      <c r="AV64" s="86"/>
      <c r="AW64" s="86"/>
      <c r="AX64" s="86"/>
      <c r="AY64" s="86"/>
    </row>
    <row r="65" spans="7:51" s="8" customFormat="1" ht="12.75" x14ac:dyDescent="0.2">
      <c r="G65" s="1"/>
      <c r="H65" s="2"/>
      <c r="I65" s="1"/>
      <c r="J65" s="66"/>
      <c r="K65" s="67"/>
      <c r="L65" s="72"/>
      <c r="M65" s="67"/>
      <c r="N65" s="67"/>
      <c r="O65" s="67"/>
      <c r="P65" s="67"/>
      <c r="Q65" s="67"/>
      <c r="R65" s="67"/>
      <c r="S65" s="67"/>
      <c r="T65" s="67"/>
      <c r="U65" s="67"/>
      <c r="V65" s="4"/>
      <c r="W65" s="4"/>
      <c r="X65" s="4"/>
      <c r="Y65" s="5"/>
      <c r="Z65" s="5"/>
      <c r="AA65" s="80"/>
      <c r="AB65" s="80"/>
      <c r="AC65" s="80"/>
      <c r="AD65" s="80"/>
      <c r="AE65" s="80"/>
      <c r="AF65" s="80"/>
      <c r="AG65" s="80"/>
      <c r="AH65" s="80"/>
      <c r="AI65" s="6"/>
      <c r="AJ65" s="6"/>
      <c r="AK65" s="83"/>
      <c r="AL65" s="6"/>
      <c r="AM65" s="6"/>
      <c r="AN65" s="6"/>
      <c r="AO65" s="6"/>
      <c r="AP65" s="86"/>
      <c r="AQ65" s="86"/>
      <c r="AR65" s="86"/>
      <c r="AS65" s="86"/>
      <c r="AT65" s="86"/>
      <c r="AU65" s="86"/>
      <c r="AV65" s="86"/>
      <c r="AW65" s="86"/>
      <c r="AX65" s="86"/>
      <c r="AY65" s="86"/>
    </row>
    <row r="66" spans="7:51" s="8" customFormat="1" ht="12.75" x14ac:dyDescent="0.2">
      <c r="G66" s="1"/>
      <c r="H66" s="2"/>
      <c r="I66" s="1"/>
      <c r="J66" s="66"/>
      <c r="K66" s="67"/>
      <c r="L66" s="72"/>
      <c r="M66" s="67"/>
      <c r="N66" s="67"/>
      <c r="O66" s="67"/>
      <c r="P66" s="67"/>
      <c r="Q66" s="67"/>
      <c r="R66" s="67"/>
      <c r="S66" s="67"/>
      <c r="T66" s="67"/>
      <c r="U66" s="67"/>
      <c r="V66" s="4"/>
      <c r="W66" s="4"/>
      <c r="X66" s="4"/>
      <c r="Y66" s="5"/>
      <c r="Z66" s="5"/>
      <c r="AA66" s="80"/>
      <c r="AB66" s="80"/>
      <c r="AC66" s="80"/>
      <c r="AD66" s="80"/>
      <c r="AE66" s="80"/>
      <c r="AF66" s="80"/>
      <c r="AG66" s="80"/>
      <c r="AH66" s="80"/>
      <c r="AI66" s="6"/>
      <c r="AJ66" s="6"/>
      <c r="AK66" s="83"/>
      <c r="AL66" s="6"/>
      <c r="AM66" s="6"/>
      <c r="AN66" s="6"/>
      <c r="AO66" s="6"/>
      <c r="AP66" s="86"/>
      <c r="AQ66" s="86"/>
      <c r="AR66" s="86"/>
      <c r="AS66" s="86"/>
      <c r="AT66" s="86"/>
      <c r="AU66" s="86"/>
      <c r="AV66" s="86"/>
      <c r="AW66" s="86"/>
      <c r="AX66" s="86"/>
      <c r="AY66" s="86"/>
    </row>
    <row r="67" spans="7:51" s="8" customFormat="1" ht="12.75" x14ac:dyDescent="0.2">
      <c r="G67" s="1"/>
      <c r="H67" s="2"/>
      <c r="I67" s="1"/>
      <c r="J67" s="66"/>
      <c r="K67" s="67"/>
      <c r="L67" s="72"/>
      <c r="M67" s="67"/>
      <c r="N67" s="67"/>
      <c r="O67" s="67"/>
      <c r="P67" s="67"/>
      <c r="Q67" s="67"/>
      <c r="R67" s="67"/>
      <c r="S67" s="67"/>
      <c r="T67" s="67"/>
      <c r="U67" s="67"/>
      <c r="V67" s="4"/>
      <c r="W67" s="4"/>
      <c r="X67" s="4"/>
      <c r="Y67" s="5"/>
      <c r="Z67" s="5"/>
      <c r="AA67" s="80"/>
      <c r="AB67" s="80"/>
      <c r="AC67" s="80"/>
      <c r="AD67" s="80"/>
      <c r="AE67" s="80"/>
      <c r="AF67" s="80"/>
      <c r="AG67" s="80"/>
      <c r="AH67" s="80"/>
      <c r="AI67" s="6"/>
      <c r="AJ67" s="6"/>
      <c r="AK67" s="83"/>
      <c r="AL67" s="6"/>
      <c r="AM67" s="6"/>
      <c r="AN67" s="6"/>
      <c r="AO67" s="6"/>
      <c r="AP67" s="86"/>
      <c r="AQ67" s="86"/>
      <c r="AR67" s="86"/>
      <c r="AS67" s="86"/>
      <c r="AT67" s="86"/>
      <c r="AU67" s="86"/>
      <c r="AV67" s="86"/>
      <c r="AW67" s="86"/>
      <c r="AX67" s="86"/>
      <c r="AY67" s="86"/>
    </row>
    <row r="68" spans="7:51" s="8" customFormat="1" ht="12.75" x14ac:dyDescent="0.2">
      <c r="G68" s="1"/>
      <c r="H68" s="2"/>
      <c r="I68" s="1"/>
      <c r="J68" s="66"/>
      <c r="K68" s="67"/>
      <c r="L68" s="72"/>
      <c r="M68" s="67"/>
      <c r="N68" s="67"/>
      <c r="O68" s="67"/>
      <c r="P68" s="67"/>
      <c r="Q68" s="67"/>
      <c r="R68" s="67"/>
      <c r="S68" s="67"/>
      <c r="T68" s="67"/>
      <c r="U68" s="67"/>
      <c r="V68" s="4"/>
      <c r="W68" s="4"/>
      <c r="X68" s="4"/>
      <c r="Y68" s="5"/>
      <c r="Z68" s="5"/>
      <c r="AA68" s="80"/>
      <c r="AB68" s="80"/>
      <c r="AC68" s="80"/>
      <c r="AD68" s="80"/>
      <c r="AE68" s="80"/>
      <c r="AF68" s="80"/>
      <c r="AG68" s="80"/>
      <c r="AH68" s="80"/>
      <c r="AI68" s="6"/>
      <c r="AJ68" s="6"/>
      <c r="AK68" s="83"/>
      <c r="AL68" s="6"/>
      <c r="AM68" s="6"/>
      <c r="AN68" s="6"/>
      <c r="AO68" s="6"/>
      <c r="AP68" s="86"/>
      <c r="AQ68" s="86"/>
      <c r="AR68" s="86"/>
      <c r="AS68" s="86"/>
      <c r="AT68" s="86"/>
      <c r="AU68" s="86"/>
      <c r="AV68" s="86"/>
      <c r="AW68" s="86"/>
      <c r="AX68" s="86"/>
      <c r="AY68" s="86"/>
    </row>
    <row r="69" spans="7:51" s="8" customFormat="1" ht="12.75" x14ac:dyDescent="0.2">
      <c r="G69" s="1"/>
      <c r="H69" s="2"/>
      <c r="I69" s="1"/>
      <c r="J69" s="66"/>
      <c r="K69" s="67"/>
      <c r="L69" s="72"/>
      <c r="M69" s="67"/>
      <c r="N69" s="67"/>
      <c r="O69" s="67"/>
      <c r="P69" s="67"/>
      <c r="Q69" s="67"/>
      <c r="R69" s="67"/>
      <c r="S69" s="67"/>
      <c r="T69" s="67"/>
      <c r="U69" s="67"/>
      <c r="V69" s="4"/>
      <c r="W69" s="4"/>
      <c r="X69" s="4"/>
      <c r="Y69" s="5"/>
      <c r="Z69" s="5"/>
      <c r="AA69" s="80"/>
      <c r="AB69" s="80"/>
      <c r="AC69" s="80"/>
      <c r="AD69" s="80"/>
      <c r="AE69" s="80"/>
      <c r="AF69" s="80"/>
      <c r="AG69" s="80"/>
      <c r="AH69" s="80"/>
      <c r="AI69" s="6"/>
      <c r="AJ69" s="6"/>
      <c r="AK69" s="83"/>
      <c r="AL69" s="6"/>
      <c r="AM69" s="6"/>
      <c r="AN69" s="6"/>
      <c r="AO69" s="6"/>
      <c r="AP69" s="86"/>
      <c r="AQ69" s="86"/>
      <c r="AR69" s="86"/>
      <c r="AS69" s="86"/>
      <c r="AT69" s="86"/>
      <c r="AU69" s="86"/>
      <c r="AV69" s="86"/>
      <c r="AW69" s="86"/>
      <c r="AX69" s="86"/>
      <c r="AY69" s="86"/>
    </row>
    <row r="70" spans="7:51" s="8" customFormat="1" ht="12.75" x14ac:dyDescent="0.2">
      <c r="G70" s="1"/>
      <c r="H70" s="2"/>
      <c r="I70" s="1"/>
      <c r="J70" s="66"/>
      <c r="K70" s="67"/>
      <c r="L70" s="72"/>
      <c r="M70" s="67"/>
      <c r="N70" s="67"/>
      <c r="O70" s="67"/>
      <c r="P70" s="67"/>
      <c r="Q70" s="67"/>
      <c r="R70" s="67"/>
      <c r="S70" s="67"/>
      <c r="T70" s="67"/>
      <c r="U70" s="67"/>
      <c r="V70" s="4"/>
      <c r="W70" s="4"/>
      <c r="X70" s="4"/>
      <c r="Y70" s="5"/>
      <c r="Z70" s="5"/>
      <c r="AA70" s="80"/>
      <c r="AB70" s="80"/>
      <c r="AC70" s="80"/>
      <c r="AD70" s="80"/>
      <c r="AE70" s="80"/>
      <c r="AF70" s="80"/>
      <c r="AG70" s="80"/>
      <c r="AH70" s="80"/>
      <c r="AI70" s="6"/>
      <c r="AJ70" s="6"/>
      <c r="AK70" s="83"/>
      <c r="AL70" s="6"/>
      <c r="AM70" s="6"/>
      <c r="AN70" s="6"/>
      <c r="AO70" s="6"/>
      <c r="AP70" s="86"/>
      <c r="AQ70" s="86"/>
      <c r="AR70" s="86"/>
      <c r="AS70" s="86"/>
      <c r="AT70" s="86"/>
      <c r="AU70" s="86"/>
      <c r="AV70" s="86"/>
      <c r="AW70" s="86"/>
      <c r="AX70" s="86"/>
      <c r="AY70" s="86"/>
    </row>
    <row r="71" spans="7:51" s="8" customFormat="1" ht="12.75" x14ac:dyDescent="0.2">
      <c r="G71" s="1"/>
      <c r="H71" s="2"/>
      <c r="I71" s="1"/>
      <c r="J71" s="66"/>
      <c r="K71" s="67"/>
      <c r="L71" s="72"/>
      <c r="M71" s="67"/>
      <c r="N71" s="67"/>
      <c r="O71" s="67"/>
      <c r="P71" s="67"/>
      <c r="Q71" s="67"/>
      <c r="R71" s="67"/>
      <c r="S71" s="67"/>
      <c r="T71" s="67"/>
      <c r="U71" s="67"/>
      <c r="V71" s="4"/>
      <c r="W71" s="4"/>
      <c r="X71" s="4"/>
      <c r="Y71" s="5"/>
      <c r="Z71" s="5"/>
      <c r="AA71" s="80"/>
      <c r="AB71" s="80"/>
      <c r="AC71" s="80"/>
      <c r="AD71" s="80"/>
      <c r="AE71" s="80"/>
      <c r="AF71" s="80"/>
      <c r="AG71" s="80"/>
      <c r="AH71" s="80"/>
      <c r="AI71" s="6"/>
      <c r="AJ71" s="6"/>
      <c r="AK71" s="83"/>
      <c r="AL71" s="6"/>
      <c r="AM71" s="6"/>
      <c r="AN71" s="6"/>
      <c r="AO71" s="6"/>
      <c r="AP71" s="86"/>
      <c r="AQ71" s="86"/>
      <c r="AR71" s="86"/>
      <c r="AS71" s="86"/>
      <c r="AT71" s="86"/>
      <c r="AU71" s="86"/>
      <c r="AV71" s="86"/>
      <c r="AW71" s="86"/>
      <c r="AX71" s="86"/>
      <c r="AY71" s="86"/>
    </row>
    <row r="72" spans="7:51" s="8" customFormat="1" ht="12.75" x14ac:dyDescent="0.2">
      <c r="G72" s="1"/>
      <c r="H72" s="2"/>
      <c r="I72" s="1"/>
      <c r="J72" s="66"/>
      <c r="K72" s="67"/>
      <c r="L72" s="72"/>
      <c r="M72" s="67"/>
      <c r="N72" s="67"/>
      <c r="O72" s="67"/>
      <c r="P72" s="67"/>
      <c r="Q72" s="67"/>
      <c r="R72" s="67"/>
      <c r="S72" s="67"/>
      <c r="T72" s="67"/>
      <c r="U72" s="67"/>
      <c r="V72" s="4"/>
      <c r="W72" s="4"/>
      <c r="X72" s="4"/>
      <c r="Y72" s="5"/>
      <c r="Z72" s="5"/>
      <c r="AA72" s="80"/>
      <c r="AB72" s="80"/>
      <c r="AC72" s="80"/>
      <c r="AD72" s="80"/>
      <c r="AE72" s="80"/>
      <c r="AF72" s="80"/>
      <c r="AG72" s="80"/>
      <c r="AH72" s="80"/>
      <c r="AI72" s="6"/>
      <c r="AJ72" s="6"/>
      <c r="AK72" s="83"/>
      <c r="AL72" s="6"/>
      <c r="AM72" s="6"/>
      <c r="AN72" s="6"/>
      <c r="AO72" s="6"/>
      <c r="AP72" s="86"/>
      <c r="AQ72" s="86"/>
      <c r="AR72" s="86"/>
      <c r="AS72" s="86"/>
      <c r="AT72" s="86"/>
      <c r="AU72" s="86"/>
      <c r="AV72" s="86"/>
      <c r="AW72" s="86"/>
      <c r="AX72" s="86"/>
      <c r="AY72" s="86"/>
    </row>
    <row r="73" spans="7:51" s="8" customFormat="1" ht="12.75" x14ac:dyDescent="0.2">
      <c r="G73" s="1"/>
      <c r="H73" s="2"/>
      <c r="I73" s="1"/>
      <c r="J73" s="66"/>
      <c r="K73" s="67"/>
      <c r="L73" s="72"/>
      <c r="M73" s="67"/>
      <c r="N73" s="67"/>
      <c r="O73" s="67"/>
      <c r="P73" s="67"/>
      <c r="Q73" s="67"/>
      <c r="R73" s="67"/>
      <c r="S73" s="67"/>
      <c r="T73" s="67"/>
      <c r="U73" s="67"/>
      <c r="V73" s="4"/>
      <c r="W73" s="4"/>
      <c r="X73" s="4"/>
      <c r="Y73" s="5"/>
      <c r="Z73" s="5"/>
      <c r="AA73" s="80"/>
      <c r="AB73" s="80"/>
      <c r="AC73" s="80"/>
      <c r="AD73" s="80"/>
      <c r="AE73" s="80"/>
      <c r="AF73" s="80"/>
      <c r="AG73" s="80"/>
      <c r="AH73" s="80"/>
      <c r="AI73" s="6"/>
      <c r="AJ73" s="6"/>
      <c r="AK73" s="83"/>
      <c r="AL73" s="6"/>
      <c r="AM73" s="6"/>
      <c r="AN73" s="6"/>
      <c r="AO73" s="6"/>
      <c r="AP73" s="86"/>
      <c r="AQ73" s="86"/>
      <c r="AR73" s="86"/>
      <c r="AS73" s="86"/>
      <c r="AT73" s="86"/>
      <c r="AU73" s="86"/>
      <c r="AV73" s="86"/>
      <c r="AW73" s="86"/>
      <c r="AX73" s="86"/>
      <c r="AY73" s="86"/>
    </row>
    <row r="74" spans="7:51" s="8" customFormat="1" ht="12.75" x14ac:dyDescent="0.2">
      <c r="G74" s="1"/>
      <c r="H74" s="2"/>
      <c r="I74" s="1"/>
      <c r="J74" s="66"/>
      <c r="K74" s="67"/>
      <c r="L74" s="72"/>
      <c r="M74" s="67"/>
      <c r="N74" s="67"/>
      <c r="O74" s="67"/>
      <c r="P74" s="67"/>
      <c r="Q74" s="67"/>
      <c r="R74" s="67"/>
      <c r="S74" s="67"/>
      <c r="T74" s="67"/>
      <c r="U74" s="67"/>
      <c r="V74" s="4"/>
      <c r="W74" s="4"/>
      <c r="X74" s="4"/>
      <c r="Y74" s="5"/>
      <c r="Z74" s="5"/>
      <c r="AA74" s="80"/>
      <c r="AB74" s="80"/>
      <c r="AC74" s="80"/>
      <c r="AD74" s="80"/>
      <c r="AE74" s="80"/>
      <c r="AF74" s="80"/>
      <c r="AG74" s="80"/>
      <c r="AH74" s="80"/>
      <c r="AI74" s="6"/>
      <c r="AJ74" s="6"/>
      <c r="AK74" s="83"/>
      <c r="AL74" s="6"/>
      <c r="AM74" s="6"/>
      <c r="AN74" s="6"/>
      <c r="AO74" s="6"/>
      <c r="AP74" s="86"/>
      <c r="AQ74" s="86"/>
      <c r="AR74" s="86"/>
      <c r="AS74" s="86"/>
      <c r="AT74" s="86"/>
      <c r="AU74" s="86"/>
      <c r="AV74" s="86"/>
      <c r="AW74" s="86"/>
      <c r="AX74" s="86"/>
      <c r="AY74" s="86"/>
    </row>
    <row r="75" spans="7:51" s="8" customFormat="1" ht="12.75" x14ac:dyDescent="0.2">
      <c r="G75" s="1"/>
      <c r="H75" s="2"/>
      <c r="I75" s="1"/>
      <c r="J75" s="66"/>
      <c r="K75" s="67"/>
      <c r="L75" s="72"/>
      <c r="M75" s="67"/>
      <c r="N75" s="67"/>
      <c r="O75" s="67"/>
      <c r="P75" s="67"/>
      <c r="Q75" s="67"/>
      <c r="R75" s="67"/>
      <c r="S75" s="67"/>
      <c r="T75" s="67"/>
      <c r="U75" s="67"/>
      <c r="V75" s="4"/>
      <c r="W75" s="4"/>
      <c r="X75" s="4"/>
      <c r="Y75" s="5"/>
      <c r="Z75" s="5"/>
      <c r="AA75" s="80"/>
      <c r="AB75" s="80"/>
      <c r="AC75" s="80"/>
      <c r="AD75" s="80"/>
      <c r="AE75" s="80"/>
      <c r="AF75" s="80"/>
      <c r="AG75" s="80"/>
      <c r="AH75" s="80"/>
      <c r="AI75" s="6"/>
      <c r="AJ75" s="6"/>
      <c r="AK75" s="83"/>
      <c r="AL75" s="6"/>
      <c r="AM75" s="6"/>
      <c r="AN75" s="6"/>
      <c r="AO75" s="6"/>
      <c r="AP75" s="86"/>
      <c r="AQ75" s="86"/>
      <c r="AR75" s="86"/>
      <c r="AS75" s="86"/>
      <c r="AT75" s="86"/>
      <c r="AU75" s="86"/>
      <c r="AV75" s="86"/>
      <c r="AW75" s="86"/>
      <c r="AX75" s="86"/>
      <c r="AY75" s="86"/>
    </row>
    <row r="76" spans="7:51" s="8" customFormat="1" ht="12.75" x14ac:dyDescent="0.2">
      <c r="G76" s="1"/>
      <c r="H76" s="2"/>
      <c r="I76" s="1"/>
      <c r="J76" s="66"/>
      <c r="K76" s="67"/>
      <c r="L76" s="72"/>
      <c r="M76" s="67"/>
      <c r="N76" s="67"/>
      <c r="O76" s="67"/>
      <c r="P76" s="67"/>
      <c r="Q76" s="67"/>
      <c r="R76" s="67"/>
      <c r="S76" s="67"/>
      <c r="T76" s="67"/>
      <c r="U76" s="67"/>
      <c r="V76" s="4"/>
      <c r="W76" s="4"/>
      <c r="X76" s="4"/>
      <c r="Y76" s="5"/>
      <c r="Z76" s="5"/>
      <c r="AA76" s="80"/>
      <c r="AB76" s="80"/>
      <c r="AC76" s="80"/>
      <c r="AD76" s="80"/>
      <c r="AE76" s="80"/>
      <c r="AF76" s="80"/>
      <c r="AG76" s="80"/>
      <c r="AH76" s="80"/>
      <c r="AI76" s="6"/>
      <c r="AJ76" s="6"/>
      <c r="AK76" s="83"/>
      <c r="AL76" s="6"/>
      <c r="AM76" s="6"/>
      <c r="AN76" s="6"/>
      <c r="AO76" s="6"/>
      <c r="AP76" s="86"/>
      <c r="AQ76" s="86"/>
      <c r="AR76" s="86"/>
      <c r="AS76" s="86"/>
      <c r="AT76" s="86"/>
      <c r="AU76" s="86"/>
      <c r="AV76" s="86"/>
      <c r="AW76" s="86"/>
      <c r="AX76" s="86"/>
      <c r="AY76" s="86"/>
    </row>
    <row r="77" spans="7:51" s="8" customFormat="1" ht="12.75" x14ac:dyDescent="0.2">
      <c r="G77" s="1"/>
      <c r="H77" s="2"/>
      <c r="I77" s="1"/>
      <c r="J77" s="66"/>
      <c r="K77" s="67"/>
      <c r="L77" s="72"/>
      <c r="M77" s="67"/>
      <c r="N77" s="67"/>
      <c r="O77" s="67"/>
      <c r="P77" s="67"/>
      <c r="Q77" s="67"/>
      <c r="R77" s="67"/>
      <c r="S77" s="67"/>
      <c r="T77" s="67"/>
      <c r="U77" s="67"/>
      <c r="V77" s="4"/>
      <c r="W77" s="4"/>
      <c r="X77" s="4"/>
      <c r="Y77" s="5"/>
      <c r="Z77" s="5"/>
      <c r="AA77" s="80"/>
      <c r="AB77" s="80"/>
      <c r="AC77" s="80"/>
      <c r="AD77" s="80"/>
      <c r="AE77" s="80"/>
      <c r="AF77" s="80"/>
      <c r="AG77" s="80"/>
      <c r="AH77" s="80"/>
      <c r="AI77" s="6"/>
      <c r="AJ77" s="6"/>
      <c r="AK77" s="83"/>
      <c r="AL77" s="6"/>
      <c r="AM77" s="6"/>
      <c r="AN77" s="6"/>
      <c r="AO77" s="6"/>
      <c r="AP77" s="86"/>
      <c r="AQ77" s="86"/>
      <c r="AR77" s="86"/>
      <c r="AS77" s="86"/>
      <c r="AT77" s="86"/>
      <c r="AU77" s="86"/>
      <c r="AV77" s="86"/>
      <c r="AW77" s="86"/>
      <c r="AX77" s="86"/>
      <c r="AY77" s="86"/>
    </row>
    <row r="78" spans="7:51" s="8" customFormat="1" ht="12.75" x14ac:dyDescent="0.2">
      <c r="G78" s="1"/>
      <c r="H78" s="2"/>
      <c r="I78" s="1"/>
      <c r="J78" s="66"/>
      <c r="K78" s="67"/>
      <c r="L78" s="72"/>
      <c r="M78" s="67"/>
      <c r="N78" s="67"/>
      <c r="O78" s="67"/>
      <c r="P78" s="67"/>
      <c r="Q78" s="67"/>
      <c r="R78" s="67"/>
      <c r="S78" s="67"/>
      <c r="T78" s="67"/>
      <c r="U78" s="67"/>
      <c r="V78" s="4"/>
      <c r="W78" s="4"/>
      <c r="X78" s="4"/>
      <c r="Y78" s="5"/>
      <c r="Z78" s="5"/>
      <c r="AA78" s="80"/>
      <c r="AB78" s="80"/>
      <c r="AC78" s="80"/>
      <c r="AD78" s="80"/>
      <c r="AE78" s="80"/>
      <c r="AF78" s="80"/>
      <c r="AG78" s="80"/>
      <c r="AH78" s="80"/>
      <c r="AI78" s="6"/>
      <c r="AJ78" s="6"/>
      <c r="AK78" s="83"/>
      <c r="AL78" s="6"/>
      <c r="AM78" s="6"/>
      <c r="AN78" s="6"/>
      <c r="AO78" s="6"/>
      <c r="AP78" s="86"/>
      <c r="AQ78" s="86"/>
      <c r="AR78" s="86"/>
      <c r="AS78" s="86"/>
      <c r="AT78" s="86"/>
      <c r="AU78" s="86"/>
      <c r="AV78" s="86"/>
      <c r="AW78" s="86"/>
      <c r="AX78" s="86"/>
      <c r="AY78" s="86"/>
    </row>
    <row r="79" spans="7:51" s="8" customFormat="1" ht="12.75" x14ac:dyDescent="0.2">
      <c r="G79" s="1"/>
      <c r="H79" s="2"/>
      <c r="I79" s="1"/>
      <c r="J79" s="66"/>
      <c r="K79" s="67"/>
      <c r="L79" s="72"/>
      <c r="M79" s="67"/>
      <c r="N79" s="67"/>
      <c r="O79" s="67"/>
      <c r="P79" s="67"/>
      <c r="Q79" s="67"/>
      <c r="R79" s="67"/>
      <c r="S79" s="67"/>
      <c r="T79" s="67"/>
      <c r="U79" s="67"/>
      <c r="V79" s="4"/>
      <c r="W79" s="4"/>
      <c r="X79" s="4"/>
      <c r="Y79" s="5"/>
      <c r="Z79" s="5"/>
      <c r="AA79" s="80"/>
      <c r="AB79" s="80"/>
      <c r="AC79" s="80"/>
      <c r="AD79" s="80"/>
      <c r="AE79" s="80"/>
      <c r="AF79" s="80"/>
      <c r="AG79" s="80"/>
      <c r="AH79" s="80"/>
      <c r="AI79" s="6"/>
      <c r="AJ79" s="6"/>
      <c r="AK79" s="83"/>
      <c r="AL79" s="6"/>
      <c r="AM79" s="6"/>
      <c r="AN79" s="6"/>
      <c r="AO79" s="6"/>
      <c r="AP79" s="86"/>
      <c r="AQ79" s="86"/>
      <c r="AR79" s="86"/>
      <c r="AS79" s="86"/>
      <c r="AT79" s="86"/>
      <c r="AU79" s="86"/>
      <c r="AV79" s="86"/>
      <c r="AW79" s="86"/>
      <c r="AX79" s="86"/>
      <c r="AY79" s="86"/>
    </row>
    <row r="80" spans="7:51" s="8" customFormat="1" ht="12.75" x14ac:dyDescent="0.2">
      <c r="G80" s="1"/>
      <c r="H80" s="2"/>
      <c r="I80" s="1"/>
      <c r="J80" s="66"/>
      <c r="K80" s="67"/>
      <c r="L80" s="72"/>
      <c r="M80" s="67"/>
      <c r="N80" s="67"/>
      <c r="O80" s="67"/>
      <c r="P80" s="67"/>
      <c r="Q80" s="67"/>
      <c r="R80" s="67"/>
      <c r="S80" s="67"/>
      <c r="T80" s="67"/>
      <c r="U80" s="67"/>
      <c r="V80" s="4"/>
      <c r="W80" s="4"/>
      <c r="X80" s="4"/>
      <c r="Y80" s="5"/>
      <c r="Z80" s="5"/>
      <c r="AA80" s="80"/>
      <c r="AB80" s="80"/>
      <c r="AC80" s="80"/>
      <c r="AD80" s="80"/>
      <c r="AE80" s="80"/>
      <c r="AF80" s="80"/>
      <c r="AG80" s="80"/>
      <c r="AH80" s="80"/>
      <c r="AI80" s="6"/>
      <c r="AJ80" s="6"/>
      <c r="AK80" s="83"/>
      <c r="AL80" s="6"/>
      <c r="AM80" s="6"/>
      <c r="AN80" s="6"/>
      <c r="AO80" s="6"/>
      <c r="AP80" s="86"/>
      <c r="AQ80" s="86"/>
      <c r="AR80" s="86"/>
      <c r="AS80" s="86"/>
      <c r="AT80" s="86"/>
      <c r="AU80" s="86"/>
      <c r="AV80" s="86"/>
      <c r="AW80" s="86"/>
      <c r="AX80" s="86"/>
      <c r="AY80" s="86"/>
    </row>
    <row r="81" spans="7:51" s="8" customFormat="1" ht="12.75" x14ac:dyDescent="0.2">
      <c r="G81" s="1"/>
      <c r="H81" s="2"/>
      <c r="I81" s="1"/>
      <c r="J81" s="66"/>
      <c r="K81" s="67"/>
      <c r="L81" s="72"/>
      <c r="M81" s="67"/>
      <c r="N81" s="67"/>
      <c r="O81" s="67"/>
      <c r="P81" s="67"/>
      <c r="Q81" s="67"/>
      <c r="R81" s="67"/>
      <c r="S81" s="67"/>
      <c r="T81" s="67"/>
      <c r="U81" s="67"/>
      <c r="V81" s="4"/>
      <c r="W81" s="4"/>
      <c r="X81" s="4"/>
      <c r="Y81" s="5"/>
      <c r="Z81" s="5"/>
      <c r="AA81" s="80"/>
      <c r="AB81" s="80"/>
      <c r="AC81" s="80"/>
      <c r="AD81" s="80"/>
      <c r="AE81" s="80"/>
      <c r="AF81" s="80"/>
      <c r="AG81" s="80"/>
      <c r="AH81" s="80"/>
      <c r="AI81" s="6"/>
      <c r="AJ81" s="6"/>
      <c r="AK81" s="83"/>
      <c r="AL81" s="6"/>
      <c r="AM81" s="6"/>
      <c r="AN81" s="6"/>
      <c r="AO81" s="6"/>
      <c r="AP81" s="86"/>
      <c r="AQ81" s="86"/>
      <c r="AR81" s="86"/>
      <c r="AS81" s="86"/>
      <c r="AT81" s="86"/>
      <c r="AU81" s="86"/>
      <c r="AV81" s="86"/>
      <c r="AW81" s="86"/>
      <c r="AX81" s="86"/>
      <c r="AY81" s="86"/>
    </row>
    <row r="82" spans="7:51" s="8" customFormat="1" ht="12.75" x14ac:dyDescent="0.2">
      <c r="G82" s="1"/>
      <c r="H82" s="2"/>
      <c r="I82" s="1"/>
      <c r="J82" s="66"/>
      <c r="K82" s="67"/>
      <c r="L82" s="72"/>
      <c r="M82" s="67"/>
      <c r="N82" s="67"/>
      <c r="O82" s="67"/>
      <c r="P82" s="67"/>
      <c r="Q82" s="67"/>
      <c r="R82" s="67"/>
      <c r="S82" s="67"/>
      <c r="T82" s="67"/>
      <c r="U82" s="67"/>
      <c r="V82" s="4"/>
      <c r="W82" s="4"/>
      <c r="X82" s="4"/>
      <c r="Y82" s="5"/>
      <c r="Z82" s="5"/>
      <c r="AA82" s="80"/>
      <c r="AB82" s="80"/>
      <c r="AC82" s="80"/>
      <c r="AD82" s="80"/>
      <c r="AE82" s="80"/>
      <c r="AF82" s="80"/>
      <c r="AG82" s="80"/>
      <c r="AH82" s="80"/>
      <c r="AI82" s="6"/>
      <c r="AJ82" s="6"/>
      <c r="AK82" s="83"/>
      <c r="AL82" s="6"/>
      <c r="AM82" s="6"/>
      <c r="AN82" s="6"/>
      <c r="AO82" s="6"/>
      <c r="AP82" s="86"/>
      <c r="AQ82" s="86"/>
      <c r="AR82" s="86"/>
      <c r="AS82" s="86"/>
      <c r="AT82" s="86"/>
      <c r="AU82" s="86"/>
      <c r="AV82" s="86"/>
      <c r="AW82" s="86"/>
      <c r="AX82" s="86"/>
      <c r="AY82" s="86"/>
    </row>
    <row r="83" spans="7:51" s="8" customFormat="1" ht="12.75" x14ac:dyDescent="0.2">
      <c r="G83" s="1"/>
      <c r="H83" s="2"/>
      <c r="I83" s="1"/>
      <c r="J83" s="66"/>
      <c r="K83" s="67"/>
      <c r="L83" s="72"/>
      <c r="M83" s="67"/>
      <c r="N83" s="67"/>
      <c r="O83" s="67"/>
      <c r="P83" s="67"/>
      <c r="Q83" s="67"/>
      <c r="R83" s="67"/>
      <c r="S83" s="67"/>
      <c r="T83" s="67"/>
      <c r="U83" s="67"/>
      <c r="V83" s="4"/>
      <c r="W83" s="4"/>
      <c r="X83" s="4"/>
      <c r="Y83" s="5"/>
      <c r="Z83" s="5"/>
      <c r="AA83" s="80"/>
      <c r="AB83" s="80"/>
      <c r="AC83" s="80"/>
      <c r="AD83" s="80"/>
      <c r="AE83" s="80"/>
      <c r="AF83" s="80"/>
      <c r="AG83" s="80"/>
      <c r="AH83" s="80"/>
      <c r="AI83" s="6"/>
      <c r="AJ83" s="6"/>
      <c r="AK83" s="83"/>
      <c r="AL83" s="6"/>
      <c r="AM83" s="6"/>
      <c r="AN83" s="6"/>
      <c r="AO83" s="6"/>
      <c r="AP83" s="86"/>
      <c r="AQ83" s="86"/>
      <c r="AR83" s="86"/>
      <c r="AS83" s="86"/>
      <c r="AT83" s="86"/>
      <c r="AU83" s="86"/>
      <c r="AV83" s="86"/>
      <c r="AW83" s="86"/>
      <c r="AX83" s="86"/>
      <c r="AY83" s="86"/>
    </row>
    <row r="84" spans="7:51" s="8" customFormat="1" ht="12.75" x14ac:dyDescent="0.2">
      <c r="G84" s="1"/>
      <c r="H84" s="2"/>
      <c r="I84" s="1"/>
      <c r="J84" s="66"/>
      <c r="K84" s="67"/>
      <c r="L84" s="72"/>
      <c r="M84" s="67"/>
      <c r="N84" s="67"/>
      <c r="O84" s="67"/>
      <c r="P84" s="67"/>
      <c r="Q84" s="67"/>
      <c r="R84" s="67"/>
      <c r="S84" s="67"/>
      <c r="T84" s="67"/>
      <c r="U84" s="67"/>
      <c r="V84" s="4"/>
      <c r="W84" s="4"/>
      <c r="X84" s="4"/>
      <c r="Y84" s="5"/>
      <c r="Z84" s="5"/>
      <c r="AA84" s="80"/>
      <c r="AB84" s="80"/>
      <c r="AC84" s="80"/>
      <c r="AD84" s="80"/>
      <c r="AE84" s="80"/>
      <c r="AF84" s="80"/>
      <c r="AG84" s="80"/>
      <c r="AH84" s="80"/>
      <c r="AI84" s="6"/>
      <c r="AJ84" s="6"/>
      <c r="AK84" s="83"/>
      <c r="AL84" s="6"/>
      <c r="AM84" s="6"/>
      <c r="AN84" s="6"/>
      <c r="AO84" s="6"/>
      <c r="AP84" s="86"/>
      <c r="AQ84" s="86"/>
      <c r="AR84" s="86"/>
      <c r="AS84" s="86"/>
      <c r="AT84" s="86"/>
      <c r="AU84" s="86"/>
      <c r="AV84" s="86"/>
      <c r="AW84" s="86"/>
      <c r="AX84" s="86"/>
      <c r="AY84" s="86"/>
    </row>
    <row r="85" spans="7:51" s="8" customFormat="1" ht="12.75" x14ac:dyDescent="0.2">
      <c r="G85" s="1"/>
      <c r="H85" s="2"/>
      <c r="I85" s="1"/>
      <c r="J85" s="66"/>
      <c r="K85" s="67"/>
      <c r="L85" s="72"/>
      <c r="M85" s="67"/>
      <c r="N85" s="67"/>
      <c r="O85" s="67"/>
      <c r="P85" s="67"/>
      <c r="Q85" s="67"/>
      <c r="R85" s="67"/>
      <c r="S85" s="67"/>
      <c r="T85" s="67"/>
      <c r="U85" s="67"/>
      <c r="V85" s="4"/>
      <c r="W85" s="4"/>
      <c r="X85" s="4"/>
      <c r="Y85" s="5"/>
      <c r="Z85" s="5"/>
      <c r="AA85" s="80"/>
      <c r="AB85" s="80"/>
      <c r="AC85" s="80"/>
      <c r="AD85" s="80"/>
      <c r="AE85" s="80"/>
      <c r="AF85" s="80"/>
      <c r="AG85" s="80"/>
      <c r="AH85" s="80"/>
      <c r="AI85" s="6"/>
      <c r="AJ85" s="6"/>
      <c r="AK85" s="83"/>
      <c r="AL85" s="6"/>
      <c r="AM85" s="6"/>
      <c r="AN85" s="6"/>
      <c r="AO85" s="6"/>
      <c r="AP85" s="86"/>
      <c r="AQ85" s="86"/>
      <c r="AR85" s="86"/>
      <c r="AS85" s="86"/>
      <c r="AT85" s="86"/>
      <c r="AU85" s="86"/>
      <c r="AV85" s="86"/>
      <c r="AW85" s="86"/>
      <c r="AX85" s="86"/>
      <c r="AY85" s="86"/>
    </row>
    <row r="86" spans="7:51" s="8" customFormat="1" ht="12.75" x14ac:dyDescent="0.2">
      <c r="G86" s="1"/>
      <c r="H86" s="2"/>
      <c r="I86" s="1"/>
      <c r="J86" s="66"/>
      <c r="K86" s="67"/>
      <c r="L86" s="72"/>
      <c r="M86" s="67"/>
      <c r="N86" s="67"/>
      <c r="O86" s="67"/>
      <c r="P86" s="67"/>
      <c r="Q86" s="67"/>
      <c r="R86" s="67"/>
      <c r="S86" s="67"/>
      <c r="T86" s="67"/>
      <c r="U86" s="67"/>
      <c r="V86" s="4"/>
      <c r="W86" s="4"/>
      <c r="X86" s="4"/>
      <c r="Y86" s="5"/>
      <c r="Z86" s="5"/>
      <c r="AA86" s="80"/>
      <c r="AB86" s="80"/>
      <c r="AC86" s="80"/>
      <c r="AD86" s="80"/>
      <c r="AE86" s="80"/>
      <c r="AF86" s="80"/>
      <c r="AG86" s="80"/>
      <c r="AH86" s="80"/>
      <c r="AI86" s="6"/>
      <c r="AJ86" s="6"/>
      <c r="AK86" s="83"/>
      <c r="AL86" s="6"/>
      <c r="AM86" s="6"/>
      <c r="AN86" s="6"/>
      <c r="AO86" s="6"/>
      <c r="AP86" s="86"/>
      <c r="AQ86" s="86"/>
      <c r="AR86" s="86"/>
      <c r="AS86" s="86"/>
      <c r="AT86" s="86"/>
      <c r="AU86" s="86"/>
      <c r="AV86" s="86"/>
      <c r="AW86" s="86"/>
      <c r="AX86" s="86"/>
      <c r="AY86" s="86"/>
    </row>
    <row r="87" spans="7:51" s="8" customFormat="1" ht="12.75" x14ac:dyDescent="0.2">
      <c r="G87" s="1"/>
      <c r="H87" s="2"/>
      <c r="I87" s="1"/>
      <c r="J87" s="66"/>
      <c r="K87" s="67"/>
      <c r="L87" s="72"/>
      <c r="M87" s="67"/>
      <c r="N87" s="67"/>
      <c r="O87" s="67"/>
      <c r="P87" s="67"/>
      <c r="Q87" s="67"/>
      <c r="R87" s="67"/>
      <c r="S87" s="67"/>
      <c r="T87" s="67"/>
      <c r="U87" s="67"/>
      <c r="V87" s="4"/>
      <c r="W87" s="4"/>
      <c r="X87" s="4"/>
      <c r="Y87" s="5"/>
      <c r="Z87" s="5"/>
      <c r="AA87" s="80"/>
      <c r="AB87" s="80"/>
      <c r="AC87" s="80"/>
      <c r="AD87" s="80"/>
      <c r="AE87" s="80"/>
      <c r="AF87" s="80"/>
      <c r="AG87" s="80"/>
      <c r="AH87" s="80"/>
      <c r="AI87" s="6"/>
      <c r="AJ87" s="6"/>
      <c r="AK87" s="83"/>
      <c r="AL87" s="6"/>
      <c r="AM87" s="6"/>
      <c r="AN87" s="6"/>
      <c r="AO87" s="6"/>
      <c r="AP87" s="86"/>
      <c r="AQ87" s="86"/>
      <c r="AR87" s="86"/>
      <c r="AS87" s="86"/>
      <c r="AT87" s="86"/>
      <c r="AU87" s="86"/>
      <c r="AV87" s="86"/>
      <c r="AW87" s="86"/>
      <c r="AX87" s="86"/>
      <c r="AY87" s="86"/>
    </row>
    <row r="88" spans="7:51" s="8" customFormat="1" ht="12.75" x14ac:dyDescent="0.2">
      <c r="G88" s="1"/>
      <c r="H88" s="2"/>
      <c r="I88" s="1"/>
      <c r="J88" s="66"/>
      <c r="K88" s="67"/>
      <c r="L88" s="72"/>
      <c r="M88" s="67"/>
      <c r="N88" s="67"/>
      <c r="O88" s="67"/>
      <c r="P88" s="67"/>
      <c r="Q88" s="67"/>
      <c r="R88" s="67"/>
      <c r="S88" s="67"/>
      <c r="T88" s="67"/>
      <c r="U88" s="67"/>
      <c r="V88" s="4"/>
      <c r="W88" s="4"/>
      <c r="X88" s="4"/>
      <c r="Y88" s="5"/>
      <c r="Z88" s="5"/>
      <c r="AA88" s="80"/>
      <c r="AB88" s="80"/>
      <c r="AC88" s="80"/>
      <c r="AD88" s="80"/>
      <c r="AE88" s="80"/>
      <c r="AF88" s="80"/>
      <c r="AG88" s="80"/>
      <c r="AH88" s="80"/>
      <c r="AI88" s="6"/>
      <c r="AJ88" s="6"/>
      <c r="AK88" s="83"/>
      <c r="AL88" s="6"/>
      <c r="AM88" s="6"/>
      <c r="AN88" s="6"/>
      <c r="AO88" s="6"/>
      <c r="AP88" s="86"/>
      <c r="AQ88" s="86"/>
      <c r="AR88" s="86"/>
      <c r="AS88" s="86"/>
      <c r="AT88" s="86"/>
      <c r="AU88" s="86"/>
      <c r="AV88" s="86"/>
      <c r="AW88" s="86"/>
      <c r="AX88" s="86"/>
      <c r="AY88" s="86"/>
    </row>
    <row r="89" spans="7:51" s="8" customFormat="1" ht="12.75" x14ac:dyDescent="0.2">
      <c r="G89" s="1"/>
      <c r="H89" s="2"/>
      <c r="I89" s="1"/>
      <c r="J89" s="66"/>
      <c r="K89" s="67"/>
      <c r="L89" s="72"/>
      <c r="M89" s="67"/>
      <c r="N89" s="67"/>
      <c r="O89" s="67"/>
      <c r="P89" s="67"/>
      <c r="Q89" s="67"/>
      <c r="R89" s="67"/>
      <c r="S89" s="67"/>
      <c r="T89" s="67"/>
      <c r="U89" s="67"/>
      <c r="V89" s="4"/>
      <c r="W89" s="4"/>
      <c r="X89" s="4"/>
      <c r="Y89" s="5"/>
      <c r="Z89" s="5"/>
      <c r="AA89" s="80"/>
      <c r="AB89" s="80"/>
      <c r="AC89" s="80"/>
      <c r="AD89" s="80"/>
      <c r="AE89" s="80"/>
      <c r="AF89" s="80"/>
      <c r="AG89" s="80"/>
      <c r="AH89" s="80"/>
      <c r="AI89" s="6"/>
      <c r="AJ89" s="6"/>
      <c r="AK89" s="83"/>
      <c r="AL89" s="6"/>
      <c r="AM89" s="6"/>
      <c r="AN89" s="6"/>
      <c r="AO89" s="6"/>
      <c r="AP89" s="86"/>
      <c r="AQ89" s="86"/>
      <c r="AR89" s="86"/>
      <c r="AS89" s="86"/>
      <c r="AT89" s="86"/>
      <c r="AU89" s="86"/>
      <c r="AV89" s="86"/>
      <c r="AW89" s="86"/>
      <c r="AX89" s="86"/>
      <c r="AY89" s="86"/>
    </row>
    <row r="90" spans="7:51" s="8" customFormat="1" ht="12.75" x14ac:dyDescent="0.2">
      <c r="G90" s="1"/>
      <c r="H90" s="2"/>
      <c r="I90" s="1"/>
      <c r="J90" s="66"/>
      <c r="K90" s="67"/>
      <c r="L90" s="72"/>
      <c r="M90" s="67"/>
      <c r="N90" s="67"/>
      <c r="O90" s="67"/>
      <c r="P90" s="67"/>
      <c r="Q90" s="67"/>
      <c r="R90" s="67"/>
      <c r="S90" s="67"/>
      <c r="T90" s="67"/>
      <c r="U90" s="67"/>
      <c r="V90" s="4"/>
      <c r="W90" s="4"/>
      <c r="X90" s="4"/>
      <c r="Y90" s="5"/>
      <c r="Z90" s="5"/>
      <c r="AA90" s="80"/>
      <c r="AB90" s="80"/>
      <c r="AC90" s="80"/>
      <c r="AD90" s="80"/>
      <c r="AE90" s="80"/>
      <c r="AF90" s="80"/>
      <c r="AG90" s="80"/>
      <c r="AH90" s="80"/>
      <c r="AI90" s="6"/>
      <c r="AJ90" s="6"/>
      <c r="AK90" s="83"/>
      <c r="AL90" s="6"/>
      <c r="AM90" s="6"/>
      <c r="AN90" s="6"/>
      <c r="AO90" s="6"/>
      <c r="AP90" s="86"/>
      <c r="AQ90" s="86"/>
      <c r="AR90" s="86"/>
      <c r="AS90" s="86"/>
      <c r="AT90" s="86"/>
      <c r="AU90" s="86"/>
      <c r="AV90" s="86"/>
      <c r="AW90" s="86"/>
      <c r="AX90" s="86"/>
      <c r="AY90" s="86"/>
    </row>
    <row r="91" spans="7:51" s="8" customFormat="1" ht="12.75" x14ac:dyDescent="0.2">
      <c r="G91" s="1"/>
      <c r="H91" s="2"/>
      <c r="I91" s="1"/>
      <c r="J91" s="66"/>
      <c r="K91" s="67"/>
      <c r="L91" s="72"/>
      <c r="M91" s="67"/>
      <c r="N91" s="67"/>
      <c r="O91" s="67"/>
      <c r="P91" s="67"/>
      <c r="Q91" s="67"/>
      <c r="R91" s="67"/>
      <c r="S91" s="67"/>
      <c r="T91" s="67"/>
      <c r="U91" s="67"/>
      <c r="V91" s="4"/>
      <c r="W91" s="4"/>
      <c r="X91" s="4"/>
      <c r="Y91" s="5"/>
      <c r="Z91" s="5"/>
      <c r="AA91" s="80"/>
      <c r="AB91" s="80"/>
      <c r="AC91" s="80"/>
      <c r="AD91" s="80"/>
      <c r="AE91" s="80"/>
      <c r="AF91" s="80"/>
      <c r="AG91" s="80"/>
      <c r="AH91" s="80"/>
      <c r="AI91" s="6"/>
      <c r="AJ91" s="6"/>
      <c r="AK91" s="83"/>
      <c r="AL91" s="6"/>
      <c r="AM91" s="6"/>
      <c r="AN91" s="6"/>
      <c r="AO91" s="6"/>
      <c r="AP91" s="86"/>
      <c r="AQ91" s="86"/>
      <c r="AR91" s="86"/>
      <c r="AS91" s="86"/>
      <c r="AT91" s="86"/>
      <c r="AU91" s="86"/>
      <c r="AV91" s="86"/>
      <c r="AW91" s="86"/>
      <c r="AX91" s="86"/>
      <c r="AY91" s="86"/>
    </row>
    <row r="92" spans="7:51" s="8" customFormat="1" ht="12.75" x14ac:dyDescent="0.2">
      <c r="G92" s="1"/>
      <c r="H92" s="2"/>
      <c r="I92" s="1"/>
      <c r="J92" s="66"/>
      <c r="K92" s="67"/>
      <c r="L92" s="72"/>
      <c r="M92" s="67"/>
      <c r="N92" s="67"/>
      <c r="O92" s="67"/>
      <c r="P92" s="67"/>
      <c r="Q92" s="67"/>
      <c r="R92" s="67"/>
      <c r="S92" s="67"/>
      <c r="T92" s="67"/>
      <c r="U92" s="67"/>
      <c r="V92" s="4"/>
      <c r="W92" s="4"/>
      <c r="X92" s="4"/>
      <c r="Y92" s="5"/>
      <c r="Z92" s="5"/>
      <c r="AA92" s="80"/>
      <c r="AB92" s="80"/>
      <c r="AC92" s="80"/>
      <c r="AD92" s="80"/>
      <c r="AE92" s="80"/>
      <c r="AF92" s="80"/>
      <c r="AG92" s="80"/>
      <c r="AH92" s="80"/>
      <c r="AI92" s="6"/>
      <c r="AJ92" s="6"/>
      <c r="AK92" s="83"/>
      <c r="AL92" s="6"/>
      <c r="AM92" s="6"/>
      <c r="AN92" s="6"/>
      <c r="AO92" s="6"/>
      <c r="AP92" s="86"/>
      <c r="AQ92" s="86"/>
      <c r="AR92" s="86"/>
      <c r="AS92" s="86"/>
      <c r="AT92" s="86"/>
      <c r="AU92" s="86"/>
      <c r="AV92" s="86"/>
      <c r="AW92" s="86"/>
      <c r="AX92" s="86"/>
      <c r="AY92" s="86"/>
    </row>
    <row r="93" spans="7:51" s="8" customFormat="1" ht="12.75" x14ac:dyDescent="0.2">
      <c r="G93" s="1"/>
      <c r="H93" s="2"/>
      <c r="I93" s="1"/>
      <c r="J93" s="66"/>
      <c r="K93" s="67"/>
      <c r="L93" s="72"/>
      <c r="M93" s="67"/>
      <c r="N93" s="67"/>
      <c r="O93" s="67"/>
      <c r="P93" s="67"/>
      <c r="Q93" s="67"/>
      <c r="R93" s="67"/>
      <c r="S93" s="67"/>
      <c r="T93" s="67"/>
      <c r="U93" s="67"/>
      <c r="V93" s="4"/>
      <c r="W93" s="4"/>
      <c r="X93" s="4"/>
      <c r="Y93" s="5"/>
      <c r="Z93" s="5"/>
      <c r="AA93" s="80"/>
      <c r="AB93" s="80"/>
      <c r="AC93" s="80"/>
      <c r="AD93" s="80"/>
      <c r="AE93" s="80"/>
      <c r="AF93" s="80"/>
      <c r="AG93" s="80"/>
      <c r="AH93" s="80"/>
      <c r="AI93" s="6"/>
      <c r="AJ93" s="6"/>
      <c r="AK93" s="83"/>
      <c r="AL93" s="6"/>
      <c r="AM93" s="6"/>
      <c r="AN93" s="6"/>
      <c r="AO93" s="6"/>
      <c r="AP93" s="86"/>
      <c r="AQ93" s="86"/>
      <c r="AR93" s="86"/>
      <c r="AS93" s="86"/>
      <c r="AT93" s="86"/>
      <c r="AU93" s="86"/>
      <c r="AV93" s="86"/>
      <c r="AW93" s="86"/>
      <c r="AX93" s="86"/>
      <c r="AY93" s="86"/>
    </row>
    <row r="94" spans="7:51" s="8" customFormat="1" ht="12.75" x14ac:dyDescent="0.2">
      <c r="G94" s="1"/>
      <c r="H94" s="2"/>
      <c r="I94" s="1"/>
      <c r="J94" s="66"/>
      <c r="K94" s="67"/>
      <c r="L94" s="72"/>
      <c r="M94" s="67"/>
      <c r="N94" s="67"/>
      <c r="O94" s="67"/>
      <c r="P94" s="67"/>
      <c r="Q94" s="67"/>
      <c r="R94" s="67"/>
      <c r="S94" s="67"/>
      <c r="T94" s="67"/>
      <c r="U94" s="67"/>
      <c r="V94" s="4"/>
      <c r="W94" s="4"/>
      <c r="X94" s="4"/>
      <c r="Y94" s="5"/>
      <c r="Z94" s="5"/>
      <c r="AA94" s="80"/>
      <c r="AB94" s="80"/>
      <c r="AC94" s="80"/>
      <c r="AD94" s="80"/>
      <c r="AE94" s="80"/>
      <c r="AF94" s="80"/>
      <c r="AG94" s="80"/>
      <c r="AH94" s="80"/>
      <c r="AI94" s="6"/>
      <c r="AJ94" s="6"/>
      <c r="AK94" s="83"/>
      <c r="AL94" s="6"/>
      <c r="AM94" s="6"/>
      <c r="AN94" s="6"/>
      <c r="AO94" s="6"/>
      <c r="AP94" s="86"/>
      <c r="AQ94" s="86"/>
      <c r="AR94" s="86"/>
      <c r="AS94" s="86"/>
      <c r="AT94" s="86"/>
      <c r="AU94" s="86"/>
      <c r="AV94" s="86"/>
      <c r="AW94" s="86"/>
      <c r="AX94" s="86"/>
      <c r="AY94" s="86"/>
    </row>
    <row r="95" spans="7:51" s="8" customFormat="1" ht="12.75" x14ac:dyDescent="0.2">
      <c r="G95" s="1"/>
      <c r="H95" s="2"/>
      <c r="I95" s="1"/>
      <c r="J95" s="66"/>
      <c r="K95" s="67"/>
      <c r="L95" s="72"/>
      <c r="M95" s="67"/>
      <c r="N95" s="67"/>
      <c r="O95" s="67"/>
      <c r="P95" s="67"/>
      <c r="Q95" s="67"/>
      <c r="R95" s="67"/>
      <c r="S95" s="67"/>
      <c r="T95" s="67"/>
      <c r="U95" s="67"/>
      <c r="V95" s="4"/>
      <c r="W95" s="4"/>
      <c r="X95" s="4"/>
      <c r="Y95" s="5"/>
      <c r="Z95" s="5"/>
      <c r="AA95" s="80"/>
      <c r="AB95" s="80"/>
      <c r="AC95" s="80"/>
      <c r="AD95" s="80"/>
      <c r="AE95" s="80"/>
      <c r="AF95" s="80"/>
      <c r="AG95" s="80"/>
      <c r="AH95" s="80"/>
      <c r="AI95" s="6"/>
      <c r="AJ95" s="6"/>
      <c r="AK95" s="83"/>
      <c r="AL95" s="6"/>
      <c r="AM95" s="6"/>
      <c r="AN95" s="6"/>
      <c r="AO95" s="6"/>
      <c r="AP95" s="86"/>
      <c r="AQ95" s="86"/>
      <c r="AR95" s="86"/>
      <c r="AS95" s="86"/>
      <c r="AT95" s="86"/>
      <c r="AU95" s="86"/>
      <c r="AV95" s="86"/>
      <c r="AW95" s="86"/>
      <c r="AX95" s="86"/>
      <c r="AY95" s="86"/>
    </row>
    <row r="96" spans="7:51" s="8" customFormat="1" ht="12.75" x14ac:dyDescent="0.2">
      <c r="G96" s="1"/>
      <c r="H96" s="2"/>
      <c r="I96" s="1"/>
      <c r="J96" s="66"/>
      <c r="K96" s="67"/>
      <c r="L96" s="72"/>
      <c r="M96" s="67"/>
      <c r="N96" s="67"/>
      <c r="O96" s="67"/>
      <c r="P96" s="67"/>
      <c r="Q96" s="67"/>
      <c r="R96" s="67"/>
      <c r="S96" s="67"/>
      <c r="T96" s="67"/>
      <c r="U96" s="67"/>
      <c r="V96" s="4"/>
      <c r="W96" s="4"/>
      <c r="X96" s="4"/>
      <c r="Y96" s="5"/>
      <c r="Z96" s="5"/>
      <c r="AA96" s="80"/>
      <c r="AB96" s="80"/>
      <c r="AC96" s="80"/>
      <c r="AD96" s="80"/>
      <c r="AE96" s="80"/>
      <c r="AF96" s="80"/>
      <c r="AG96" s="80"/>
      <c r="AH96" s="80"/>
      <c r="AI96" s="6"/>
      <c r="AJ96" s="6"/>
      <c r="AK96" s="83"/>
      <c r="AL96" s="6"/>
      <c r="AM96" s="6"/>
      <c r="AN96" s="6"/>
      <c r="AO96" s="6"/>
      <c r="AP96" s="86"/>
      <c r="AQ96" s="86"/>
      <c r="AR96" s="86"/>
      <c r="AS96" s="86"/>
      <c r="AT96" s="86"/>
      <c r="AU96" s="86"/>
      <c r="AV96" s="86"/>
      <c r="AW96" s="86"/>
      <c r="AX96" s="86"/>
      <c r="AY96" s="86"/>
    </row>
    <row r="97" spans="7:51" s="8" customFormat="1" ht="12.75" x14ac:dyDescent="0.2">
      <c r="G97" s="1"/>
      <c r="H97" s="2"/>
      <c r="I97" s="1"/>
      <c r="J97" s="66"/>
      <c r="K97" s="67"/>
      <c r="L97" s="72"/>
      <c r="M97" s="67"/>
      <c r="N97" s="67"/>
      <c r="O97" s="67"/>
      <c r="P97" s="67"/>
      <c r="Q97" s="67"/>
      <c r="R97" s="67"/>
      <c r="S97" s="67"/>
      <c r="T97" s="67"/>
      <c r="U97" s="67"/>
      <c r="V97" s="4"/>
      <c r="W97" s="4"/>
      <c r="X97" s="4"/>
      <c r="Y97" s="5"/>
      <c r="Z97" s="5"/>
      <c r="AA97" s="80"/>
      <c r="AB97" s="80"/>
      <c r="AC97" s="80"/>
      <c r="AD97" s="80"/>
      <c r="AE97" s="80"/>
      <c r="AF97" s="80"/>
      <c r="AG97" s="80"/>
      <c r="AH97" s="80"/>
      <c r="AI97" s="6"/>
      <c r="AJ97" s="6"/>
      <c r="AK97" s="83"/>
      <c r="AL97" s="6"/>
      <c r="AM97" s="6"/>
      <c r="AN97" s="6"/>
      <c r="AO97" s="6"/>
      <c r="AP97" s="86"/>
      <c r="AQ97" s="86"/>
      <c r="AR97" s="86"/>
      <c r="AS97" s="86"/>
      <c r="AT97" s="86"/>
      <c r="AU97" s="86"/>
      <c r="AV97" s="86"/>
      <c r="AW97" s="86"/>
      <c r="AX97" s="86"/>
      <c r="AY97" s="86"/>
    </row>
    <row r="98" spans="7:51" s="8" customFormat="1" ht="12.75" x14ac:dyDescent="0.2">
      <c r="G98" s="1"/>
      <c r="H98" s="2"/>
      <c r="I98" s="1"/>
      <c r="J98" s="66"/>
      <c r="K98" s="67"/>
      <c r="L98" s="72"/>
      <c r="M98" s="67"/>
      <c r="N98" s="67"/>
      <c r="O98" s="67"/>
      <c r="P98" s="67"/>
      <c r="Q98" s="67"/>
      <c r="R98" s="67"/>
      <c r="S98" s="67"/>
      <c r="T98" s="67"/>
      <c r="U98" s="67"/>
      <c r="V98" s="4"/>
      <c r="W98" s="4"/>
      <c r="X98" s="4"/>
      <c r="Y98" s="5"/>
      <c r="Z98" s="5"/>
      <c r="AA98" s="80"/>
      <c r="AB98" s="80"/>
      <c r="AC98" s="80"/>
      <c r="AD98" s="80"/>
      <c r="AE98" s="80"/>
      <c r="AF98" s="80"/>
      <c r="AG98" s="80"/>
      <c r="AH98" s="80"/>
      <c r="AI98" s="6"/>
      <c r="AJ98" s="6"/>
      <c r="AK98" s="83"/>
      <c r="AL98" s="6"/>
      <c r="AM98" s="6"/>
      <c r="AN98" s="6"/>
      <c r="AO98" s="6"/>
      <c r="AP98" s="86"/>
      <c r="AQ98" s="86"/>
      <c r="AR98" s="86"/>
      <c r="AS98" s="86"/>
      <c r="AT98" s="86"/>
      <c r="AU98" s="86"/>
      <c r="AV98" s="86"/>
      <c r="AW98" s="86"/>
      <c r="AX98" s="86"/>
      <c r="AY98" s="86"/>
    </row>
    <row r="99" spans="7:51" s="8" customFormat="1" ht="12.75" x14ac:dyDescent="0.2">
      <c r="G99" s="1"/>
      <c r="H99" s="2"/>
      <c r="I99" s="1"/>
      <c r="J99" s="66"/>
      <c r="K99" s="67"/>
      <c r="L99" s="72"/>
      <c r="M99" s="67"/>
      <c r="N99" s="67"/>
      <c r="O99" s="67"/>
      <c r="P99" s="67"/>
      <c r="Q99" s="67"/>
      <c r="R99" s="67"/>
      <c r="S99" s="67"/>
      <c r="T99" s="67"/>
      <c r="U99" s="67"/>
      <c r="V99" s="4"/>
      <c r="W99" s="4"/>
      <c r="X99" s="4"/>
      <c r="Y99" s="5"/>
      <c r="Z99" s="5"/>
      <c r="AA99" s="80"/>
      <c r="AB99" s="80"/>
      <c r="AC99" s="80"/>
      <c r="AD99" s="80"/>
      <c r="AE99" s="80"/>
      <c r="AF99" s="80"/>
      <c r="AG99" s="80"/>
      <c r="AH99" s="80"/>
      <c r="AI99" s="6"/>
      <c r="AJ99" s="6"/>
      <c r="AK99" s="83"/>
      <c r="AL99" s="6"/>
      <c r="AM99" s="6"/>
      <c r="AN99" s="6"/>
      <c r="AO99" s="6"/>
      <c r="AP99" s="86"/>
      <c r="AQ99" s="86"/>
      <c r="AR99" s="86"/>
      <c r="AS99" s="86"/>
      <c r="AT99" s="86"/>
      <c r="AU99" s="86"/>
      <c r="AV99" s="86"/>
      <c r="AW99" s="86"/>
      <c r="AX99" s="86"/>
      <c r="AY99" s="86"/>
    </row>
    <row r="100" spans="7:51" s="8" customFormat="1" ht="12.75" x14ac:dyDescent="0.2">
      <c r="G100" s="1"/>
      <c r="H100" s="2"/>
      <c r="I100" s="1"/>
      <c r="J100" s="66"/>
      <c r="K100" s="67"/>
      <c r="L100" s="72"/>
      <c r="M100" s="67"/>
      <c r="N100" s="67"/>
      <c r="O100" s="67"/>
      <c r="P100" s="67"/>
      <c r="Q100" s="67"/>
      <c r="R100" s="67"/>
      <c r="S100" s="67"/>
      <c r="T100" s="67"/>
      <c r="U100" s="67"/>
      <c r="V100" s="4"/>
      <c r="W100" s="4"/>
      <c r="X100" s="4"/>
      <c r="Y100" s="5"/>
      <c r="Z100" s="5"/>
      <c r="AA100" s="80"/>
      <c r="AB100" s="80"/>
      <c r="AC100" s="80"/>
      <c r="AD100" s="80"/>
      <c r="AE100" s="80"/>
      <c r="AF100" s="80"/>
      <c r="AG100" s="80"/>
      <c r="AH100" s="80"/>
      <c r="AI100" s="6"/>
      <c r="AJ100" s="6"/>
      <c r="AK100" s="83"/>
      <c r="AL100" s="6"/>
      <c r="AM100" s="6"/>
      <c r="AN100" s="6"/>
      <c r="AO100" s="6"/>
      <c r="AP100" s="86"/>
      <c r="AQ100" s="86"/>
      <c r="AR100" s="86"/>
      <c r="AS100" s="86"/>
      <c r="AT100" s="86"/>
      <c r="AU100" s="86"/>
      <c r="AV100" s="86"/>
      <c r="AW100" s="86"/>
      <c r="AX100" s="86"/>
      <c r="AY100" s="86"/>
    </row>
    <row r="101" spans="7:51" s="8" customFormat="1" ht="12.75" x14ac:dyDescent="0.2">
      <c r="G101" s="1"/>
      <c r="H101" s="2"/>
      <c r="I101" s="1"/>
      <c r="J101" s="66"/>
      <c r="K101" s="67"/>
      <c r="L101" s="72"/>
      <c r="M101" s="67"/>
      <c r="N101" s="67"/>
      <c r="O101" s="67"/>
      <c r="P101" s="67"/>
      <c r="Q101" s="67"/>
      <c r="R101" s="67"/>
      <c r="S101" s="67"/>
      <c r="T101" s="67"/>
      <c r="U101" s="67"/>
      <c r="V101" s="4"/>
      <c r="W101" s="4"/>
      <c r="X101" s="4"/>
      <c r="Y101" s="5"/>
      <c r="Z101" s="5"/>
      <c r="AA101" s="80"/>
      <c r="AB101" s="80"/>
      <c r="AC101" s="80"/>
      <c r="AD101" s="80"/>
      <c r="AE101" s="80"/>
      <c r="AF101" s="80"/>
      <c r="AG101" s="80"/>
      <c r="AH101" s="80"/>
      <c r="AI101" s="6"/>
      <c r="AJ101" s="6"/>
      <c r="AK101" s="83"/>
      <c r="AL101" s="6"/>
      <c r="AM101" s="6"/>
      <c r="AN101" s="6"/>
      <c r="AO101" s="6"/>
      <c r="AP101" s="86"/>
      <c r="AQ101" s="86"/>
      <c r="AR101" s="86"/>
      <c r="AS101" s="86"/>
      <c r="AT101" s="86"/>
      <c r="AU101" s="86"/>
      <c r="AV101" s="86"/>
      <c r="AW101" s="86"/>
      <c r="AX101" s="86"/>
      <c r="AY101" s="86"/>
    </row>
    <row r="102" spans="7:51" s="8" customFormat="1" ht="12.75" x14ac:dyDescent="0.2">
      <c r="G102" s="1"/>
      <c r="H102" s="2"/>
      <c r="I102" s="1"/>
      <c r="J102" s="66"/>
      <c r="K102" s="67"/>
      <c r="L102" s="72"/>
      <c r="M102" s="67"/>
      <c r="N102" s="67"/>
      <c r="O102" s="67"/>
      <c r="P102" s="67"/>
      <c r="Q102" s="67"/>
      <c r="R102" s="67"/>
      <c r="S102" s="67"/>
      <c r="T102" s="67"/>
      <c r="U102" s="67"/>
      <c r="V102" s="4"/>
      <c r="W102" s="4"/>
      <c r="X102" s="4"/>
      <c r="Y102" s="5"/>
      <c r="Z102" s="5"/>
      <c r="AA102" s="80"/>
      <c r="AB102" s="80"/>
      <c r="AC102" s="80"/>
      <c r="AD102" s="80"/>
      <c r="AE102" s="80"/>
      <c r="AF102" s="80"/>
      <c r="AG102" s="80"/>
      <c r="AH102" s="80"/>
      <c r="AI102" s="6"/>
      <c r="AJ102" s="6"/>
      <c r="AK102" s="83"/>
      <c r="AL102" s="6"/>
      <c r="AM102" s="6"/>
      <c r="AN102" s="6"/>
      <c r="AO102" s="6"/>
      <c r="AP102" s="86"/>
      <c r="AQ102" s="86"/>
      <c r="AR102" s="86"/>
      <c r="AS102" s="86"/>
      <c r="AT102" s="86"/>
      <c r="AU102" s="86"/>
      <c r="AV102" s="86"/>
      <c r="AW102" s="86"/>
      <c r="AX102" s="86"/>
      <c r="AY102" s="86"/>
    </row>
    <row r="103" spans="7:51" s="8" customFormat="1" ht="12.75" x14ac:dyDescent="0.2">
      <c r="G103" s="1"/>
      <c r="H103" s="2"/>
      <c r="I103" s="1"/>
      <c r="J103" s="66"/>
      <c r="K103" s="67"/>
      <c r="L103" s="72"/>
      <c r="M103" s="67"/>
      <c r="N103" s="67"/>
      <c r="O103" s="67"/>
      <c r="P103" s="67"/>
      <c r="Q103" s="67"/>
      <c r="R103" s="67"/>
      <c r="S103" s="67"/>
      <c r="T103" s="67"/>
      <c r="U103" s="67"/>
      <c r="V103" s="4"/>
      <c r="W103" s="4"/>
      <c r="X103" s="4"/>
      <c r="Y103" s="5"/>
      <c r="Z103" s="5"/>
      <c r="AA103" s="80"/>
      <c r="AB103" s="80"/>
      <c r="AC103" s="80"/>
      <c r="AD103" s="80"/>
      <c r="AE103" s="80"/>
      <c r="AF103" s="80"/>
      <c r="AG103" s="80"/>
      <c r="AH103" s="80"/>
      <c r="AI103" s="6"/>
      <c r="AJ103" s="6"/>
      <c r="AK103" s="83"/>
      <c r="AL103" s="6"/>
      <c r="AM103" s="6"/>
      <c r="AN103" s="6"/>
      <c r="AO103" s="6"/>
      <c r="AP103" s="86"/>
      <c r="AQ103" s="86"/>
      <c r="AR103" s="86"/>
      <c r="AS103" s="86"/>
      <c r="AT103" s="86"/>
      <c r="AU103" s="86"/>
      <c r="AV103" s="86"/>
      <c r="AW103" s="86"/>
      <c r="AX103" s="86"/>
      <c r="AY103" s="86"/>
    </row>
    <row r="104" spans="7:51" s="8" customFormat="1" ht="12.75" x14ac:dyDescent="0.2">
      <c r="G104" s="1"/>
      <c r="H104" s="2"/>
      <c r="I104" s="1"/>
      <c r="J104" s="66"/>
      <c r="K104" s="67"/>
      <c r="L104" s="72"/>
      <c r="M104" s="67"/>
      <c r="N104" s="67"/>
      <c r="O104" s="67"/>
      <c r="P104" s="67"/>
      <c r="Q104" s="67"/>
      <c r="R104" s="67"/>
      <c r="S104" s="67"/>
      <c r="T104" s="67"/>
      <c r="U104" s="67"/>
      <c r="V104" s="4"/>
      <c r="W104" s="4"/>
      <c r="X104" s="4"/>
      <c r="Y104" s="5"/>
      <c r="Z104" s="5"/>
      <c r="AA104" s="80"/>
      <c r="AB104" s="80"/>
      <c r="AC104" s="80"/>
      <c r="AD104" s="80"/>
      <c r="AE104" s="80"/>
      <c r="AF104" s="80"/>
      <c r="AG104" s="80"/>
      <c r="AH104" s="80"/>
      <c r="AI104" s="6"/>
      <c r="AJ104" s="6"/>
      <c r="AK104" s="83"/>
      <c r="AL104" s="6"/>
      <c r="AM104" s="6"/>
      <c r="AN104" s="6"/>
      <c r="AO104" s="6"/>
      <c r="AP104" s="86"/>
      <c r="AQ104" s="86"/>
      <c r="AR104" s="86"/>
      <c r="AS104" s="86"/>
      <c r="AT104" s="86"/>
      <c r="AU104" s="86"/>
      <c r="AV104" s="86"/>
      <c r="AW104" s="86"/>
      <c r="AX104" s="86"/>
      <c r="AY104" s="86"/>
    </row>
    <row r="105" spans="7:51" s="8" customFormat="1" ht="12.75" x14ac:dyDescent="0.2">
      <c r="G105" s="1"/>
      <c r="H105" s="2"/>
      <c r="I105" s="1"/>
      <c r="J105" s="66"/>
      <c r="K105" s="67"/>
      <c r="L105" s="72"/>
      <c r="M105" s="67"/>
      <c r="N105" s="67"/>
      <c r="O105" s="67"/>
      <c r="P105" s="67"/>
      <c r="Q105" s="67"/>
      <c r="R105" s="67"/>
      <c r="S105" s="67"/>
      <c r="T105" s="67"/>
      <c r="U105" s="67"/>
      <c r="V105" s="4"/>
      <c r="W105" s="4"/>
      <c r="X105" s="4"/>
      <c r="Y105" s="5"/>
      <c r="Z105" s="5"/>
      <c r="AA105" s="80"/>
      <c r="AB105" s="80"/>
      <c r="AC105" s="80"/>
      <c r="AD105" s="80"/>
      <c r="AE105" s="80"/>
      <c r="AF105" s="80"/>
      <c r="AG105" s="80"/>
      <c r="AH105" s="80"/>
      <c r="AI105" s="6"/>
      <c r="AJ105" s="6"/>
      <c r="AK105" s="83"/>
      <c r="AL105" s="6"/>
      <c r="AM105" s="6"/>
      <c r="AN105" s="6"/>
      <c r="AO105" s="6"/>
      <c r="AP105" s="86"/>
      <c r="AQ105" s="86"/>
      <c r="AR105" s="86"/>
      <c r="AS105" s="86"/>
      <c r="AT105" s="86"/>
      <c r="AU105" s="86"/>
      <c r="AV105" s="86"/>
      <c r="AW105" s="86"/>
      <c r="AX105" s="86"/>
      <c r="AY105" s="86"/>
    </row>
    <row r="106" spans="7:51" s="8" customFormat="1" ht="12.75" x14ac:dyDescent="0.2">
      <c r="G106" s="1"/>
      <c r="H106" s="2"/>
      <c r="I106" s="1"/>
      <c r="J106" s="66"/>
      <c r="K106" s="67"/>
      <c r="L106" s="72"/>
      <c r="M106" s="67"/>
      <c r="N106" s="67"/>
      <c r="O106" s="67"/>
      <c r="P106" s="67"/>
      <c r="Q106" s="67"/>
      <c r="R106" s="67"/>
      <c r="S106" s="67"/>
      <c r="T106" s="67"/>
      <c r="U106" s="67"/>
      <c r="V106" s="4"/>
      <c r="W106" s="4"/>
      <c r="X106" s="4"/>
      <c r="Y106" s="5"/>
      <c r="Z106" s="5"/>
      <c r="AA106" s="80"/>
      <c r="AB106" s="80"/>
      <c r="AC106" s="80"/>
      <c r="AD106" s="80"/>
      <c r="AE106" s="80"/>
      <c r="AF106" s="80"/>
      <c r="AG106" s="80"/>
      <c r="AH106" s="80"/>
      <c r="AI106" s="6"/>
      <c r="AJ106" s="6"/>
      <c r="AK106" s="83"/>
      <c r="AL106" s="6"/>
      <c r="AM106" s="6"/>
      <c r="AN106" s="6"/>
      <c r="AO106" s="6"/>
      <c r="AP106" s="86"/>
      <c r="AQ106" s="86"/>
      <c r="AR106" s="86"/>
      <c r="AS106" s="86"/>
      <c r="AT106" s="86"/>
      <c r="AU106" s="86"/>
      <c r="AV106" s="86"/>
      <c r="AW106" s="86"/>
      <c r="AX106" s="86"/>
      <c r="AY106" s="86"/>
    </row>
    <row r="107" spans="7:51" s="8" customFormat="1" ht="12.75" x14ac:dyDescent="0.2">
      <c r="G107" s="1"/>
      <c r="H107" s="2"/>
      <c r="I107" s="1"/>
      <c r="J107" s="66"/>
      <c r="K107" s="67"/>
      <c r="L107" s="72"/>
      <c r="M107" s="67"/>
      <c r="N107" s="67"/>
      <c r="O107" s="67"/>
      <c r="P107" s="67"/>
      <c r="Q107" s="67"/>
      <c r="R107" s="67"/>
      <c r="S107" s="67"/>
      <c r="T107" s="67"/>
      <c r="U107" s="67"/>
      <c r="V107" s="4"/>
      <c r="W107" s="4"/>
      <c r="X107" s="4"/>
      <c r="Y107" s="5"/>
      <c r="Z107" s="5"/>
      <c r="AA107" s="80"/>
      <c r="AB107" s="80"/>
      <c r="AC107" s="80"/>
      <c r="AD107" s="80"/>
      <c r="AE107" s="80"/>
      <c r="AF107" s="80"/>
      <c r="AG107" s="80"/>
      <c r="AH107" s="80"/>
      <c r="AI107" s="6"/>
      <c r="AJ107" s="6"/>
      <c r="AK107" s="83"/>
      <c r="AL107" s="6"/>
      <c r="AM107" s="6"/>
      <c r="AN107" s="6"/>
      <c r="AO107" s="6"/>
      <c r="AP107" s="86"/>
      <c r="AQ107" s="86"/>
      <c r="AR107" s="86"/>
      <c r="AS107" s="86"/>
      <c r="AT107" s="86"/>
      <c r="AU107" s="86"/>
      <c r="AV107" s="86"/>
      <c r="AW107" s="86"/>
      <c r="AX107" s="86"/>
      <c r="AY107" s="86"/>
    </row>
    <row r="108" spans="7:51" s="8" customFormat="1" ht="12.75" x14ac:dyDescent="0.2">
      <c r="G108" s="1"/>
      <c r="H108" s="2"/>
      <c r="I108" s="1"/>
      <c r="J108" s="66"/>
      <c r="K108" s="67"/>
      <c r="L108" s="72"/>
      <c r="M108" s="67"/>
      <c r="N108" s="67"/>
      <c r="O108" s="67"/>
      <c r="P108" s="67"/>
      <c r="Q108" s="67"/>
      <c r="R108" s="67"/>
      <c r="S108" s="67"/>
      <c r="T108" s="67"/>
      <c r="U108" s="67"/>
      <c r="V108" s="4"/>
      <c r="W108" s="4"/>
      <c r="X108" s="4"/>
      <c r="Y108" s="5"/>
      <c r="Z108" s="5"/>
      <c r="AA108" s="80"/>
      <c r="AB108" s="80"/>
      <c r="AC108" s="80"/>
      <c r="AD108" s="80"/>
      <c r="AE108" s="80"/>
      <c r="AF108" s="80"/>
      <c r="AG108" s="80"/>
      <c r="AH108" s="80"/>
      <c r="AI108" s="6"/>
      <c r="AJ108" s="6"/>
      <c r="AK108" s="83"/>
      <c r="AL108" s="6"/>
      <c r="AM108" s="6"/>
      <c r="AN108" s="6"/>
      <c r="AO108" s="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</row>
    <row r="109" spans="7:51" s="8" customFormat="1" ht="12.75" x14ac:dyDescent="0.2">
      <c r="G109" s="1"/>
      <c r="H109" s="2"/>
      <c r="I109" s="1"/>
      <c r="J109" s="66"/>
      <c r="K109" s="67"/>
      <c r="L109" s="72"/>
      <c r="M109" s="67"/>
      <c r="N109" s="67"/>
      <c r="O109" s="67"/>
      <c r="P109" s="67"/>
      <c r="Q109" s="67"/>
      <c r="R109" s="67"/>
      <c r="S109" s="67"/>
      <c r="T109" s="67"/>
      <c r="U109" s="67"/>
      <c r="V109" s="4"/>
      <c r="W109" s="4"/>
      <c r="X109" s="4"/>
      <c r="Y109" s="5"/>
      <c r="Z109" s="5"/>
      <c r="AA109" s="80"/>
      <c r="AB109" s="80"/>
      <c r="AC109" s="80"/>
      <c r="AD109" s="80"/>
      <c r="AE109" s="80"/>
      <c r="AF109" s="80"/>
      <c r="AG109" s="80"/>
      <c r="AH109" s="80"/>
      <c r="AI109" s="6"/>
      <c r="AJ109" s="6"/>
      <c r="AK109" s="83"/>
      <c r="AL109" s="6"/>
      <c r="AM109" s="6"/>
      <c r="AN109" s="6"/>
      <c r="AO109" s="6"/>
      <c r="AP109" s="86"/>
      <c r="AQ109" s="86"/>
      <c r="AR109" s="86"/>
      <c r="AS109" s="86"/>
      <c r="AT109" s="86"/>
      <c r="AU109" s="86"/>
      <c r="AV109" s="86"/>
      <c r="AW109" s="86"/>
      <c r="AX109" s="86"/>
      <c r="AY109" s="86"/>
    </row>
    <row r="110" spans="7:51" s="8" customFormat="1" ht="12.75" x14ac:dyDescent="0.2">
      <c r="G110" s="1"/>
      <c r="H110" s="2"/>
      <c r="I110" s="1"/>
      <c r="J110" s="66"/>
      <c r="K110" s="67"/>
      <c r="L110" s="72"/>
      <c r="M110" s="67"/>
      <c r="N110" s="67"/>
      <c r="O110" s="67"/>
      <c r="P110" s="67"/>
      <c r="Q110" s="67"/>
      <c r="R110" s="67"/>
      <c r="S110" s="67"/>
      <c r="T110" s="67"/>
      <c r="U110" s="67"/>
      <c r="V110" s="4"/>
      <c r="W110" s="4"/>
      <c r="X110" s="4"/>
      <c r="Y110" s="5"/>
      <c r="Z110" s="5"/>
      <c r="AA110" s="80"/>
      <c r="AB110" s="80"/>
      <c r="AC110" s="80"/>
      <c r="AD110" s="80"/>
      <c r="AE110" s="80"/>
      <c r="AF110" s="80"/>
      <c r="AG110" s="80"/>
      <c r="AH110" s="80"/>
      <c r="AI110" s="6"/>
      <c r="AJ110" s="6"/>
      <c r="AK110" s="83"/>
      <c r="AL110" s="6"/>
      <c r="AM110" s="6"/>
      <c r="AN110" s="6"/>
      <c r="AO110" s="6"/>
      <c r="AP110" s="86"/>
      <c r="AQ110" s="86"/>
      <c r="AR110" s="86"/>
      <c r="AS110" s="86"/>
      <c r="AT110" s="86"/>
      <c r="AU110" s="86"/>
      <c r="AV110" s="86"/>
      <c r="AW110" s="86"/>
      <c r="AX110" s="86"/>
      <c r="AY110" s="86"/>
    </row>
    <row r="111" spans="7:51" s="8" customFormat="1" ht="12.75" x14ac:dyDescent="0.2">
      <c r="G111" s="1"/>
      <c r="H111" s="2"/>
      <c r="I111" s="1"/>
      <c r="J111" s="66"/>
      <c r="K111" s="67"/>
      <c r="L111" s="72"/>
      <c r="M111" s="67"/>
      <c r="N111" s="67"/>
      <c r="O111" s="67"/>
      <c r="P111" s="67"/>
      <c r="Q111" s="67"/>
      <c r="R111" s="67"/>
      <c r="S111" s="67"/>
      <c r="T111" s="67"/>
      <c r="U111" s="67"/>
      <c r="V111" s="4"/>
      <c r="W111" s="4"/>
      <c r="X111" s="4"/>
      <c r="Y111" s="5"/>
      <c r="Z111" s="5"/>
      <c r="AA111" s="80"/>
      <c r="AB111" s="80"/>
      <c r="AC111" s="80"/>
      <c r="AD111" s="80"/>
      <c r="AE111" s="80"/>
      <c r="AF111" s="80"/>
      <c r="AG111" s="80"/>
      <c r="AH111" s="80"/>
      <c r="AI111" s="6"/>
      <c r="AJ111" s="6"/>
      <c r="AK111" s="83"/>
      <c r="AL111" s="6"/>
      <c r="AM111" s="6"/>
      <c r="AN111" s="6"/>
      <c r="AO111" s="6"/>
      <c r="AP111" s="86"/>
      <c r="AQ111" s="86"/>
      <c r="AR111" s="86"/>
      <c r="AS111" s="86"/>
      <c r="AT111" s="86"/>
      <c r="AU111" s="86"/>
      <c r="AV111" s="86"/>
      <c r="AW111" s="86"/>
      <c r="AX111" s="86"/>
      <c r="AY111" s="86"/>
    </row>
    <row r="112" spans="7:51" s="8" customFormat="1" ht="12.75" x14ac:dyDescent="0.2">
      <c r="G112" s="1"/>
      <c r="H112" s="2"/>
      <c r="I112" s="1"/>
      <c r="J112" s="66"/>
      <c r="K112" s="67"/>
      <c r="L112" s="72"/>
      <c r="M112" s="67"/>
      <c r="N112" s="67"/>
      <c r="O112" s="67"/>
      <c r="P112" s="67"/>
      <c r="Q112" s="67"/>
      <c r="R112" s="67"/>
      <c r="S112" s="67"/>
      <c r="T112" s="67"/>
      <c r="U112" s="67"/>
      <c r="V112" s="4"/>
      <c r="W112" s="4"/>
      <c r="X112" s="4"/>
      <c r="Y112" s="5"/>
      <c r="Z112" s="5"/>
      <c r="AA112" s="80"/>
      <c r="AB112" s="80"/>
      <c r="AC112" s="80"/>
      <c r="AD112" s="80"/>
      <c r="AE112" s="80"/>
      <c r="AF112" s="80"/>
      <c r="AG112" s="80"/>
      <c r="AH112" s="80"/>
      <c r="AI112" s="6"/>
      <c r="AJ112" s="6"/>
      <c r="AK112" s="83"/>
      <c r="AL112" s="6"/>
      <c r="AM112" s="6"/>
      <c r="AN112" s="6"/>
      <c r="AO112" s="6"/>
      <c r="AP112" s="86"/>
      <c r="AQ112" s="86"/>
      <c r="AR112" s="86"/>
      <c r="AS112" s="86"/>
      <c r="AT112" s="86"/>
      <c r="AU112" s="86"/>
      <c r="AV112" s="86"/>
      <c r="AW112" s="86"/>
      <c r="AX112" s="86"/>
      <c r="AY112" s="86"/>
    </row>
    <row r="113" spans="7:51" s="8" customFormat="1" ht="12.75" x14ac:dyDescent="0.2">
      <c r="G113" s="1"/>
      <c r="H113" s="2"/>
      <c r="I113" s="1"/>
      <c r="J113" s="66"/>
      <c r="K113" s="67"/>
      <c r="L113" s="72"/>
      <c r="M113" s="67"/>
      <c r="N113" s="67"/>
      <c r="O113" s="67"/>
      <c r="P113" s="67"/>
      <c r="Q113" s="67"/>
      <c r="R113" s="67"/>
      <c r="S113" s="67"/>
      <c r="T113" s="67"/>
      <c r="U113" s="67"/>
      <c r="V113" s="4"/>
      <c r="W113" s="4"/>
      <c r="X113" s="4"/>
      <c r="Y113" s="5"/>
      <c r="Z113" s="5"/>
      <c r="AA113" s="80"/>
      <c r="AB113" s="80"/>
      <c r="AC113" s="80"/>
      <c r="AD113" s="80"/>
      <c r="AE113" s="80"/>
      <c r="AF113" s="80"/>
      <c r="AG113" s="80"/>
      <c r="AH113" s="80"/>
      <c r="AI113" s="6"/>
      <c r="AJ113" s="6"/>
      <c r="AK113" s="83"/>
      <c r="AL113" s="6"/>
      <c r="AM113" s="6"/>
      <c r="AN113" s="6"/>
      <c r="AO113" s="6"/>
      <c r="AP113" s="86"/>
      <c r="AQ113" s="86"/>
      <c r="AR113" s="86"/>
      <c r="AS113" s="86"/>
      <c r="AT113" s="86"/>
      <c r="AU113" s="86"/>
      <c r="AV113" s="86"/>
      <c r="AW113" s="86"/>
      <c r="AX113" s="86"/>
      <c r="AY113" s="86"/>
    </row>
    <row r="114" spans="7:51" s="8" customFormat="1" ht="12.75" x14ac:dyDescent="0.2">
      <c r="G114" s="1"/>
      <c r="H114" s="2"/>
      <c r="I114" s="1"/>
      <c r="J114" s="66"/>
      <c r="K114" s="67"/>
      <c r="L114" s="72"/>
      <c r="M114" s="67"/>
      <c r="N114" s="67"/>
      <c r="O114" s="67"/>
      <c r="P114" s="67"/>
      <c r="Q114" s="67"/>
      <c r="R114" s="67"/>
      <c r="S114" s="67"/>
      <c r="T114" s="67"/>
      <c r="U114" s="67"/>
      <c r="V114" s="4"/>
      <c r="W114" s="4"/>
      <c r="X114" s="4"/>
      <c r="Y114" s="5"/>
      <c r="Z114" s="5"/>
      <c r="AA114" s="80"/>
      <c r="AB114" s="80"/>
      <c r="AC114" s="80"/>
      <c r="AD114" s="80"/>
      <c r="AE114" s="80"/>
      <c r="AF114" s="80"/>
      <c r="AG114" s="80"/>
      <c r="AH114" s="80"/>
      <c r="AI114" s="6"/>
      <c r="AJ114" s="6"/>
      <c r="AK114" s="83"/>
      <c r="AL114" s="6"/>
      <c r="AM114" s="6"/>
      <c r="AN114" s="6"/>
      <c r="AO114" s="6"/>
      <c r="AP114" s="86"/>
      <c r="AQ114" s="86"/>
      <c r="AR114" s="86"/>
      <c r="AS114" s="86"/>
      <c r="AT114" s="86"/>
      <c r="AU114" s="86"/>
      <c r="AV114" s="86"/>
      <c r="AW114" s="86"/>
      <c r="AX114" s="86"/>
      <c r="AY114" s="86"/>
    </row>
    <row r="115" spans="7:51" s="8" customFormat="1" ht="12.75" x14ac:dyDescent="0.2">
      <c r="G115" s="1"/>
      <c r="H115" s="2"/>
      <c r="I115" s="1"/>
      <c r="J115" s="66"/>
      <c r="K115" s="67"/>
      <c r="L115" s="72"/>
      <c r="M115" s="67"/>
      <c r="N115" s="67"/>
      <c r="O115" s="67"/>
      <c r="P115" s="67"/>
      <c r="Q115" s="67"/>
      <c r="R115" s="67"/>
      <c r="S115" s="67"/>
      <c r="T115" s="67"/>
      <c r="U115" s="67"/>
      <c r="V115" s="4"/>
      <c r="W115" s="4"/>
      <c r="X115" s="4"/>
      <c r="Y115" s="5"/>
      <c r="Z115" s="5"/>
      <c r="AA115" s="80"/>
      <c r="AB115" s="80"/>
      <c r="AC115" s="80"/>
      <c r="AD115" s="80"/>
      <c r="AE115" s="80"/>
      <c r="AF115" s="80"/>
      <c r="AG115" s="80"/>
      <c r="AH115" s="80"/>
      <c r="AI115" s="6"/>
      <c r="AJ115" s="6"/>
      <c r="AK115" s="83"/>
      <c r="AL115" s="6"/>
      <c r="AM115" s="6"/>
      <c r="AN115" s="6"/>
      <c r="AO115" s="6"/>
      <c r="AP115" s="86"/>
      <c r="AQ115" s="86"/>
      <c r="AR115" s="86"/>
      <c r="AS115" s="86"/>
      <c r="AT115" s="86"/>
      <c r="AU115" s="86"/>
      <c r="AV115" s="86"/>
      <c r="AW115" s="86"/>
      <c r="AX115" s="86"/>
      <c r="AY115" s="86"/>
    </row>
    <row r="116" spans="7:51" s="8" customFormat="1" ht="12.75" x14ac:dyDescent="0.2">
      <c r="G116" s="1"/>
      <c r="H116" s="2"/>
      <c r="I116" s="1"/>
      <c r="J116" s="66"/>
      <c r="K116" s="67"/>
      <c r="L116" s="72"/>
      <c r="M116" s="67"/>
      <c r="N116" s="67"/>
      <c r="O116" s="67"/>
      <c r="P116" s="67"/>
      <c r="Q116" s="67"/>
      <c r="R116" s="67"/>
      <c r="S116" s="67"/>
      <c r="T116" s="67"/>
      <c r="U116" s="67"/>
      <c r="V116" s="4"/>
      <c r="W116" s="4"/>
      <c r="X116" s="4"/>
      <c r="Y116" s="5"/>
      <c r="Z116" s="5"/>
      <c r="AA116" s="80"/>
      <c r="AB116" s="80"/>
      <c r="AC116" s="80"/>
      <c r="AD116" s="80"/>
      <c r="AE116" s="80"/>
      <c r="AF116" s="80"/>
      <c r="AG116" s="80"/>
      <c r="AH116" s="80"/>
      <c r="AI116" s="6"/>
      <c r="AJ116" s="6"/>
      <c r="AK116" s="83"/>
      <c r="AL116" s="6"/>
      <c r="AM116" s="6"/>
      <c r="AN116" s="6"/>
      <c r="AO116" s="6"/>
      <c r="AP116" s="86"/>
      <c r="AQ116" s="86"/>
      <c r="AR116" s="86"/>
      <c r="AS116" s="86"/>
      <c r="AT116" s="86"/>
      <c r="AU116" s="86"/>
      <c r="AV116" s="86"/>
      <c r="AW116" s="86"/>
      <c r="AX116" s="86"/>
      <c r="AY116" s="86"/>
    </row>
    <row r="117" spans="7:51" s="8" customFormat="1" ht="12.75" x14ac:dyDescent="0.2">
      <c r="G117" s="1"/>
      <c r="H117" s="2"/>
      <c r="I117" s="1"/>
      <c r="J117" s="66"/>
      <c r="K117" s="67"/>
      <c r="L117" s="72"/>
      <c r="M117" s="67"/>
      <c r="N117" s="67"/>
      <c r="O117" s="67"/>
      <c r="P117" s="67"/>
      <c r="Q117" s="67"/>
      <c r="R117" s="67"/>
      <c r="S117" s="67"/>
      <c r="T117" s="67"/>
      <c r="U117" s="67"/>
      <c r="V117" s="4"/>
      <c r="W117" s="4"/>
      <c r="X117" s="4"/>
      <c r="Y117" s="5"/>
      <c r="Z117" s="5"/>
      <c r="AA117" s="80"/>
      <c r="AB117" s="80"/>
      <c r="AC117" s="80"/>
      <c r="AD117" s="80"/>
      <c r="AE117" s="80"/>
      <c r="AF117" s="80"/>
      <c r="AG117" s="80"/>
      <c r="AH117" s="80"/>
      <c r="AI117" s="6"/>
      <c r="AJ117" s="6"/>
      <c r="AK117" s="83"/>
      <c r="AL117" s="6"/>
      <c r="AM117" s="6"/>
      <c r="AN117" s="6"/>
      <c r="AO117" s="6"/>
      <c r="AP117" s="86"/>
      <c r="AQ117" s="86"/>
      <c r="AR117" s="86"/>
      <c r="AS117" s="86"/>
      <c r="AT117" s="86"/>
      <c r="AU117" s="86"/>
      <c r="AV117" s="86"/>
      <c r="AW117" s="86"/>
      <c r="AX117" s="86"/>
      <c r="AY117" s="86"/>
    </row>
    <row r="118" spans="7:51" s="8" customFormat="1" ht="12.75" x14ac:dyDescent="0.2">
      <c r="G118" s="1"/>
      <c r="H118" s="2"/>
      <c r="I118" s="1"/>
      <c r="J118" s="66"/>
      <c r="K118" s="67"/>
      <c r="L118" s="72"/>
      <c r="M118" s="67"/>
      <c r="N118" s="67"/>
      <c r="O118" s="67"/>
      <c r="P118" s="67"/>
      <c r="Q118" s="67"/>
      <c r="R118" s="67"/>
      <c r="S118" s="67"/>
      <c r="T118" s="67"/>
      <c r="U118" s="67"/>
      <c r="V118" s="4"/>
      <c r="W118" s="4"/>
      <c r="X118" s="4"/>
      <c r="Y118" s="5"/>
      <c r="Z118" s="5"/>
      <c r="AA118" s="80"/>
      <c r="AB118" s="80"/>
      <c r="AC118" s="80"/>
      <c r="AD118" s="80"/>
      <c r="AE118" s="80"/>
      <c r="AF118" s="80"/>
      <c r="AG118" s="80"/>
      <c r="AH118" s="80"/>
      <c r="AI118" s="6"/>
      <c r="AJ118" s="6"/>
      <c r="AK118" s="83"/>
      <c r="AL118" s="6"/>
      <c r="AM118" s="6"/>
      <c r="AN118" s="6"/>
      <c r="AO118" s="6"/>
      <c r="AP118" s="86"/>
      <c r="AQ118" s="86"/>
      <c r="AR118" s="86"/>
      <c r="AS118" s="86"/>
      <c r="AT118" s="86"/>
      <c r="AU118" s="86"/>
      <c r="AV118" s="86"/>
      <c r="AW118" s="86"/>
      <c r="AX118" s="86"/>
      <c r="AY118" s="86"/>
    </row>
    <row r="119" spans="7:51" s="8" customFormat="1" ht="12.75" x14ac:dyDescent="0.2">
      <c r="G119" s="1"/>
      <c r="H119" s="2"/>
      <c r="I119" s="1"/>
      <c r="J119" s="66"/>
      <c r="K119" s="67"/>
      <c r="L119" s="72"/>
      <c r="M119" s="67"/>
      <c r="N119" s="67"/>
      <c r="O119" s="67"/>
      <c r="P119" s="67"/>
      <c r="Q119" s="67"/>
      <c r="R119" s="67"/>
      <c r="S119" s="67"/>
      <c r="T119" s="67"/>
      <c r="U119" s="67"/>
      <c r="V119" s="4"/>
      <c r="W119" s="4"/>
      <c r="X119" s="4"/>
      <c r="Y119" s="5"/>
      <c r="Z119" s="5"/>
      <c r="AA119" s="80"/>
      <c r="AB119" s="80"/>
      <c r="AC119" s="80"/>
      <c r="AD119" s="80"/>
      <c r="AE119" s="80"/>
      <c r="AF119" s="80"/>
      <c r="AG119" s="80"/>
      <c r="AH119" s="80"/>
      <c r="AI119" s="6"/>
      <c r="AJ119" s="6"/>
      <c r="AK119" s="83"/>
      <c r="AL119" s="6"/>
      <c r="AM119" s="6"/>
      <c r="AN119" s="6"/>
      <c r="AO119" s="6"/>
      <c r="AP119" s="86"/>
      <c r="AQ119" s="86"/>
      <c r="AR119" s="86"/>
      <c r="AS119" s="86"/>
      <c r="AT119" s="86"/>
      <c r="AU119" s="86"/>
      <c r="AV119" s="86"/>
      <c r="AW119" s="86"/>
      <c r="AX119" s="86"/>
      <c r="AY119" s="86"/>
    </row>
    <row r="120" spans="7:51" s="8" customFormat="1" ht="12.75" x14ac:dyDescent="0.2">
      <c r="G120" s="1"/>
      <c r="H120" s="2"/>
      <c r="I120" s="1"/>
      <c r="J120" s="66"/>
      <c r="K120" s="67"/>
      <c r="L120" s="72"/>
      <c r="M120" s="67"/>
      <c r="N120" s="67"/>
      <c r="O120" s="67"/>
      <c r="P120" s="67"/>
      <c r="Q120" s="67"/>
      <c r="R120" s="67"/>
      <c r="S120" s="67"/>
      <c r="T120" s="67"/>
      <c r="U120" s="67"/>
      <c r="V120" s="4"/>
      <c r="W120" s="4"/>
      <c r="X120" s="4"/>
      <c r="Y120" s="5"/>
      <c r="Z120" s="5"/>
      <c r="AA120" s="80"/>
      <c r="AB120" s="80"/>
      <c r="AC120" s="80"/>
      <c r="AD120" s="80"/>
      <c r="AE120" s="80"/>
      <c r="AF120" s="80"/>
      <c r="AG120" s="80"/>
      <c r="AH120" s="80"/>
      <c r="AI120" s="6"/>
      <c r="AJ120" s="6"/>
      <c r="AK120" s="83"/>
      <c r="AL120" s="6"/>
      <c r="AM120" s="6"/>
      <c r="AN120" s="6"/>
      <c r="AO120" s="6"/>
      <c r="AP120" s="86"/>
      <c r="AQ120" s="86"/>
      <c r="AR120" s="86"/>
      <c r="AS120" s="86"/>
      <c r="AT120" s="86"/>
      <c r="AU120" s="86"/>
      <c r="AV120" s="86"/>
      <c r="AW120" s="86"/>
      <c r="AX120" s="86"/>
      <c r="AY120" s="86"/>
    </row>
    <row r="121" spans="7:51" s="8" customFormat="1" ht="12.75" x14ac:dyDescent="0.2">
      <c r="G121" s="1"/>
      <c r="H121" s="2"/>
      <c r="I121" s="1"/>
      <c r="J121" s="66"/>
      <c r="K121" s="67"/>
      <c r="L121" s="72"/>
      <c r="M121" s="67"/>
      <c r="N121" s="67"/>
      <c r="O121" s="67"/>
      <c r="P121" s="67"/>
      <c r="Q121" s="67"/>
      <c r="R121" s="67"/>
      <c r="S121" s="67"/>
      <c r="T121" s="67"/>
      <c r="U121" s="67"/>
      <c r="V121" s="4"/>
      <c r="W121" s="4"/>
      <c r="X121" s="4"/>
      <c r="Y121" s="5"/>
      <c r="Z121" s="5"/>
      <c r="AA121" s="80"/>
      <c r="AB121" s="80"/>
      <c r="AC121" s="80"/>
      <c r="AD121" s="80"/>
      <c r="AE121" s="80"/>
      <c r="AF121" s="80"/>
      <c r="AG121" s="80"/>
      <c r="AH121" s="80"/>
      <c r="AI121" s="6"/>
      <c r="AJ121" s="6"/>
      <c r="AK121" s="83"/>
      <c r="AL121" s="6"/>
      <c r="AM121" s="6"/>
      <c r="AN121" s="6"/>
      <c r="AO121" s="6"/>
      <c r="AP121" s="86"/>
      <c r="AQ121" s="86"/>
      <c r="AR121" s="86"/>
      <c r="AS121" s="86"/>
      <c r="AT121" s="86"/>
      <c r="AU121" s="86"/>
      <c r="AV121" s="86"/>
      <c r="AW121" s="86"/>
      <c r="AX121" s="86"/>
      <c r="AY121" s="86"/>
    </row>
    <row r="122" spans="7:51" s="8" customFormat="1" ht="12.75" x14ac:dyDescent="0.2">
      <c r="G122" s="1"/>
      <c r="H122" s="2"/>
      <c r="I122" s="1"/>
      <c r="J122" s="66"/>
      <c r="K122" s="67"/>
      <c r="L122" s="72"/>
      <c r="M122" s="67"/>
      <c r="N122" s="67"/>
      <c r="O122" s="67"/>
      <c r="P122" s="67"/>
      <c r="Q122" s="67"/>
      <c r="R122" s="67"/>
      <c r="S122" s="67"/>
      <c r="T122" s="67"/>
      <c r="U122" s="67"/>
      <c r="V122" s="4"/>
      <c r="W122" s="4"/>
      <c r="X122" s="4"/>
      <c r="Y122" s="5"/>
      <c r="Z122" s="5"/>
      <c r="AA122" s="80"/>
      <c r="AB122" s="80"/>
      <c r="AC122" s="80"/>
      <c r="AD122" s="80"/>
      <c r="AE122" s="80"/>
      <c r="AF122" s="80"/>
      <c r="AG122" s="80"/>
      <c r="AH122" s="80"/>
      <c r="AI122" s="6"/>
      <c r="AJ122" s="6"/>
      <c r="AK122" s="83"/>
      <c r="AL122" s="6"/>
      <c r="AM122" s="6"/>
      <c r="AN122" s="6"/>
      <c r="AO122" s="6"/>
      <c r="AP122" s="86"/>
      <c r="AQ122" s="86"/>
      <c r="AR122" s="86"/>
      <c r="AS122" s="86"/>
      <c r="AT122" s="86"/>
      <c r="AU122" s="86"/>
      <c r="AV122" s="86"/>
      <c r="AW122" s="86"/>
      <c r="AX122" s="86"/>
      <c r="AY122" s="86"/>
    </row>
    <row r="123" spans="7:51" s="8" customFormat="1" ht="12.75" x14ac:dyDescent="0.2">
      <c r="G123" s="1"/>
      <c r="H123" s="2"/>
      <c r="I123" s="1"/>
      <c r="J123" s="66"/>
      <c r="K123" s="67"/>
      <c r="L123" s="72"/>
      <c r="M123" s="67"/>
      <c r="N123" s="67"/>
      <c r="O123" s="67"/>
      <c r="P123" s="67"/>
      <c r="Q123" s="67"/>
      <c r="R123" s="67"/>
      <c r="S123" s="67"/>
      <c r="T123" s="67"/>
      <c r="U123" s="67"/>
      <c r="V123" s="4"/>
      <c r="W123" s="4"/>
      <c r="X123" s="4"/>
      <c r="Y123" s="5"/>
      <c r="Z123" s="5"/>
      <c r="AA123" s="80"/>
      <c r="AB123" s="80"/>
      <c r="AC123" s="80"/>
      <c r="AD123" s="80"/>
      <c r="AE123" s="80"/>
      <c r="AF123" s="80"/>
      <c r="AG123" s="80"/>
      <c r="AH123" s="80"/>
      <c r="AI123" s="6"/>
      <c r="AJ123" s="6"/>
      <c r="AK123" s="83"/>
      <c r="AL123" s="6"/>
      <c r="AM123" s="6"/>
      <c r="AN123" s="6"/>
      <c r="AO123" s="6"/>
      <c r="AP123" s="86"/>
      <c r="AQ123" s="86"/>
      <c r="AR123" s="86"/>
      <c r="AS123" s="86"/>
      <c r="AT123" s="86"/>
      <c r="AU123" s="86"/>
      <c r="AV123" s="86"/>
      <c r="AW123" s="86"/>
      <c r="AX123" s="86"/>
      <c r="AY123" s="86"/>
    </row>
    <row r="124" spans="7:51" s="8" customFormat="1" ht="12.75" x14ac:dyDescent="0.2">
      <c r="G124" s="1"/>
      <c r="H124" s="2"/>
      <c r="I124" s="1"/>
      <c r="J124" s="66"/>
      <c r="K124" s="67"/>
      <c r="L124" s="72"/>
      <c r="M124" s="67"/>
      <c r="N124" s="67"/>
      <c r="O124" s="67"/>
      <c r="P124" s="67"/>
      <c r="Q124" s="67"/>
      <c r="R124" s="67"/>
      <c r="S124" s="67"/>
      <c r="T124" s="67"/>
      <c r="U124" s="67"/>
      <c r="V124" s="4"/>
      <c r="W124" s="4"/>
      <c r="X124" s="4"/>
      <c r="Y124" s="5"/>
      <c r="Z124" s="5"/>
      <c r="AA124" s="80"/>
      <c r="AB124" s="80"/>
      <c r="AC124" s="80"/>
      <c r="AD124" s="80"/>
      <c r="AE124" s="80"/>
      <c r="AF124" s="80"/>
      <c r="AG124" s="80"/>
      <c r="AH124" s="80"/>
      <c r="AI124" s="6"/>
      <c r="AJ124" s="6"/>
      <c r="AK124" s="83"/>
      <c r="AL124" s="6"/>
      <c r="AM124" s="6"/>
      <c r="AN124" s="6"/>
      <c r="AO124" s="6"/>
      <c r="AP124" s="86"/>
      <c r="AQ124" s="86"/>
      <c r="AR124" s="86"/>
      <c r="AS124" s="86"/>
      <c r="AT124" s="86"/>
      <c r="AU124" s="86"/>
      <c r="AV124" s="86"/>
      <c r="AW124" s="86"/>
      <c r="AX124" s="86"/>
      <c r="AY124" s="86"/>
    </row>
    <row r="125" spans="7:51" s="8" customFormat="1" ht="12.75" x14ac:dyDescent="0.2">
      <c r="G125" s="1"/>
      <c r="H125" s="2"/>
      <c r="I125" s="1"/>
      <c r="J125" s="66"/>
      <c r="K125" s="67"/>
      <c r="L125" s="72"/>
      <c r="M125" s="67"/>
      <c r="N125" s="67"/>
      <c r="O125" s="67"/>
      <c r="P125" s="67"/>
      <c r="Q125" s="67"/>
      <c r="R125" s="67"/>
      <c r="S125" s="67"/>
      <c r="T125" s="67"/>
      <c r="U125" s="67"/>
      <c r="V125" s="4"/>
      <c r="W125" s="4"/>
      <c r="X125" s="4"/>
      <c r="Y125" s="5"/>
      <c r="Z125" s="5"/>
      <c r="AA125" s="80"/>
      <c r="AB125" s="80"/>
      <c r="AC125" s="80"/>
      <c r="AD125" s="80"/>
      <c r="AE125" s="80"/>
      <c r="AF125" s="80"/>
      <c r="AG125" s="80"/>
      <c r="AH125" s="80"/>
      <c r="AI125" s="6"/>
      <c r="AJ125" s="6"/>
      <c r="AK125" s="83"/>
      <c r="AL125" s="6"/>
      <c r="AM125" s="6"/>
      <c r="AN125" s="6"/>
      <c r="AO125" s="6"/>
      <c r="AP125" s="86"/>
      <c r="AQ125" s="86"/>
      <c r="AR125" s="86"/>
      <c r="AS125" s="86"/>
      <c r="AT125" s="86"/>
      <c r="AU125" s="86"/>
      <c r="AV125" s="86"/>
      <c r="AW125" s="86"/>
      <c r="AX125" s="86"/>
      <c r="AY125" s="86"/>
    </row>
    <row r="126" spans="7:51" s="8" customFormat="1" ht="12.75" x14ac:dyDescent="0.2">
      <c r="G126" s="1"/>
      <c r="H126" s="2"/>
      <c r="I126" s="1"/>
      <c r="J126" s="66"/>
      <c r="K126" s="67"/>
      <c r="L126" s="72"/>
      <c r="M126" s="67"/>
      <c r="N126" s="67"/>
      <c r="O126" s="67"/>
      <c r="P126" s="67"/>
      <c r="Q126" s="67"/>
      <c r="R126" s="67"/>
      <c r="S126" s="67"/>
      <c r="T126" s="67"/>
      <c r="U126" s="67"/>
      <c r="V126" s="4"/>
      <c r="W126" s="4"/>
      <c r="X126" s="4"/>
      <c r="Y126" s="5"/>
      <c r="Z126" s="5"/>
      <c r="AA126" s="80"/>
      <c r="AB126" s="80"/>
      <c r="AC126" s="80"/>
      <c r="AD126" s="80"/>
      <c r="AE126" s="80"/>
      <c r="AF126" s="80"/>
      <c r="AG126" s="80"/>
      <c r="AH126" s="80"/>
      <c r="AI126" s="6"/>
      <c r="AJ126" s="6"/>
      <c r="AK126" s="83"/>
      <c r="AL126" s="6"/>
      <c r="AM126" s="6"/>
      <c r="AN126" s="6"/>
      <c r="AO126" s="6"/>
      <c r="AP126" s="86"/>
      <c r="AQ126" s="86"/>
      <c r="AR126" s="86"/>
      <c r="AS126" s="86"/>
      <c r="AT126" s="86"/>
      <c r="AU126" s="86"/>
      <c r="AV126" s="86"/>
      <c r="AW126" s="86"/>
      <c r="AX126" s="86"/>
      <c r="AY126" s="86"/>
    </row>
    <row r="127" spans="7:51" s="8" customFormat="1" ht="12.75" x14ac:dyDescent="0.2">
      <c r="G127" s="1"/>
      <c r="H127" s="2"/>
      <c r="I127" s="1"/>
      <c r="J127" s="66"/>
      <c r="K127" s="67"/>
      <c r="L127" s="72"/>
      <c r="M127" s="67"/>
      <c r="N127" s="67"/>
      <c r="O127" s="67"/>
      <c r="P127" s="67"/>
      <c r="Q127" s="67"/>
      <c r="R127" s="67"/>
      <c r="S127" s="67"/>
      <c r="T127" s="67"/>
      <c r="U127" s="67"/>
      <c r="V127" s="4"/>
      <c r="W127" s="4"/>
      <c r="X127" s="4"/>
      <c r="Y127" s="5"/>
      <c r="Z127" s="5"/>
      <c r="AA127" s="80"/>
      <c r="AB127" s="80"/>
      <c r="AC127" s="80"/>
      <c r="AD127" s="80"/>
      <c r="AE127" s="80"/>
      <c r="AF127" s="80"/>
      <c r="AG127" s="80"/>
      <c r="AH127" s="80"/>
      <c r="AI127" s="6"/>
      <c r="AJ127" s="6"/>
      <c r="AK127" s="83"/>
      <c r="AL127" s="6"/>
      <c r="AM127" s="6"/>
      <c r="AN127" s="6"/>
      <c r="AO127" s="6"/>
      <c r="AP127" s="86"/>
      <c r="AQ127" s="86"/>
      <c r="AR127" s="86"/>
      <c r="AS127" s="86"/>
      <c r="AT127" s="86"/>
      <c r="AU127" s="86"/>
      <c r="AV127" s="86"/>
      <c r="AW127" s="86"/>
      <c r="AX127" s="86"/>
      <c r="AY127" s="86"/>
    </row>
    <row r="128" spans="7:51" s="8" customFormat="1" ht="12.75" x14ac:dyDescent="0.2">
      <c r="G128" s="1"/>
      <c r="H128" s="2"/>
      <c r="I128" s="1"/>
      <c r="J128" s="66"/>
      <c r="K128" s="67"/>
      <c r="L128" s="72"/>
      <c r="M128" s="67"/>
      <c r="N128" s="67"/>
      <c r="O128" s="67"/>
      <c r="P128" s="67"/>
      <c r="Q128" s="67"/>
      <c r="R128" s="67"/>
      <c r="S128" s="67"/>
      <c r="T128" s="67"/>
      <c r="U128" s="67"/>
      <c r="V128" s="4"/>
      <c r="W128" s="4"/>
      <c r="X128" s="4"/>
      <c r="Y128" s="5"/>
      <c r="Z128" s="5"/>
      <c r="AA128" s="80"/>
      <c r="AB128" s="80"/>
      <c r="AC128" s="80"/>
      <c r="AD128" s="80"/>
      <c r="AE128" s="80"/>
      <c r="AF128" s="80"/>
      <c r="AG128" s="80"/>
      <c r="AH128" s="80"/>
      <c r="AI128" s="6"/>
      <c r="AJ128" s="6"/>
      <c r="AK128" s="83"/>
      <c r="AL128" s="6"/>
      <c r="AM128" s="6"/>
      <c r="AN128" s="6"/>
      <c r="AO128" s="6"/>
      <c r="AP128" s="86"/>
      <c r="AQ128" s="86"/>
      <c r="AR128" s="86"/>
      <c r="AS128" s="86"/>
      <c r="AT128" s="86"/>
      <c r="AU128" s="86"/>
      <c r="AV128" s="86"/>
      <c r="AW128" s="86"/>
      <c r="AX128" s="86"/>
      <c r="AY128" s="86"/>
    </row>
    <row r="129" spans="7:51" s="8" customFormat="1" ht="12.75" x14ac:dyDescent="0.2">
      <c r="G129" s="1"/>
      <c r="H129" s="2"/>
      <c r="I129" s="1"/>
      <c r="J129" s="66"/>
      <c r="K129" s="67"/>
      <c r="L129" s="72"/>
      <c r="M129" s="67"/>
      <c r="N129" s="67"/>
      <c r="O129" s="67"/>
      <c r="P129" s="67"/>
      <c r="Q129" s="67"/>
      <c r="R129" s="67"/>
      <c r="S129" s="67"/>
      <c r="T129" s="67"/>
      <c r="U129" s="67"/>
      <c r="V129" s="4"/>
      <c r="W129" s="4"/>
      <c r="X129" s="4"/>
      <c r="Y129" s="5"/>
      <c r="Z129" s="5"/>
      <c r="AA129" s="80"/>
      <c r="AB129" s="80"/>
      <c r="AC129" s="80"/>
      <c r="AD129" s="80"/>
      <c r="AE129" s="80"/>
      <c r="AF129" s="80"/>
      <c r="AG129" s="80"/>
      <c r="AH129" s="80"/>
      <c r="AI129" s="6"/>
      <c r="AJ129" s="6"/>
      <c r="AK129" s="83"/>
      <c r="AL129" s="6"/>
      <c r="AM129" s="6"/>
      <c r="AN129" s="6"/>
      <c r="AO129" s="6"/>
      <c r="AP129" s="86"/>
      <c r="AQ129" s="86"/>
      <c r="AR129" s="86"/>
      <c r="AS129" s="86"/>
      <c r="AT129" s="86"/>
      <c r="AU129" s="86"/>
      <c r="AV129" s="86"/>
      <c r="AW129" s="86"/>
      <c r="AX129" s="86"/>
      <c r="AY129" s="86"/>
    </row>
    <row r="130" spans="7:51" s="8" customFormat="1" ht="12.75" x14ac:dyDescent="0.2">
      <c r="G130" s="1"/>
      <c r="H130" s="2"/>
      <c r="I130" s="1"/>
      <c r="J130" s="66"/>
      <c r="K130" s="67"/>
      <c r="L130" s="72"/>
      <c r="M130" s="67"/>
      <c r="N130" s="67"/>
      <c r="O130" s="67"/>
      <c r="P130" s="67"/>
      <c r="Q130" s="67"/>
      <c r="R130" s="67"/>
      <c r="S130" s="67"/>
      <c r="T130" s="67"/>
      <c r="U130" s="67"/>
      <c r="V130" s="4"/>
      <c r="W130" s="4"/>
      <c r="X130" s="4"/>
      <c r="Y130" s="5"/>
      <c r="Z130" s="5"/>
      <c r="AA130" s="80"/>
      <c r="AB130" s="80"/>
      <c r="AC130" s="80"/>
      <c r="AD130" s="80"/>
      <c r="AE130" s="80"/>
      <c r="AF130" s="80"/>
      <c r="AG130" s="80"/>
      <c r="AH130" s="80"/>
      <c r="AI130" s="6"/>
      <c r="AJ130" s="6"/>
      <c r="AK130" s="83"/>
      <c r="AL130" s="6"/>
      <c r="AM130" s="6"/>
      <c r="AN130" s="6"/>
      <c r="AO130" s="6"/>
      <c r="AP130" s="86"/>
      <c r="AQ130" s="86"/>
      <c r="AR130" s="86"/>
      <c r="AS130" s="86"/>
      <c r="AT130" s="86"/>
      <c r="AU130" s="86"/>
      <c r="AV130" s="86"/>
      <c r="AW130" s="86"/>
      <c r="AX130" s="86"/>
      <c r="AY130" s="86"/>
    </row>
    <row r="131" spans="7:51" s="8" customFormat="1" ht="12.75" x14ac:dyDescent="0.2">
      <c r="G131" s="1"/>
      <c r="H131" s="2"/>
      <c r="I131" s="1"/>
      <c r="J131" s="66"/>
      <c r="K131" s="67"/>
      <c r="L131" s="72"/>
      <c r="M131" s="67"/>
      <c r="N131" s="67"/>
      <c r="O131" s="67"/>
      <c r="P131" s="67"/>
      <c r="Q131" s="67"/>
      <c r="R131" s="67"/>
      <c r="S131" s="67"/>
      <c r="T131" s="67"/>
      <c r="U131" s="67"/>
      <c r="V131" s="4"/>
      <c r="W131" s="4"/>
      <c r="X131" s="4"/>
      <c r="Y131" s="5"/>
      <c r="Z131" s="5"/>
      <c r="AA131" s="80"/>
      <c r="AB131" s="80"/>
      <c r="AC131" s="80"/>
      <c r="AD131" s="80"/>
      <c r="AE131" s="80"/>
      <c r="AF131" s="80"/>
      <c r="AG131" s="80"/>
      <c r="AH131" s="80"/>
      <c r="AI131" s="6"/>
      <c r="AJ131" s="6"/>
      <c r="AK131" s="83"/>
      <c r="AL131" s="6"/>
      <c r="AM131" s="6"/>
      <c r="AN131" s="6"/>
      <c r="AO131" s="6"/>
      <c r="AP131" s="86"/>
      <c r="AQ131" s="86"/>
      <c r="AR131" s="86"/>
      <c r="AS131" s="86"/>
      <c r="AT131" s="86"/>
      <c r="AU131" s="86"/>
      <c r="AV131" s="86"/>
      <c r="AW131" s="86"/>
      <c r="AX131" s="86"/>
      <c r="AY131" s="86"/>
    </row>
    <row r="132" spans="7:51" s="8" customFormat="1" ht="12.75" x14ac:dyDescent="0.2">
      <c r="G132" s="1"/>
      <c r="H132" s="2"/>
      <c r="I132" s="1"/>
      <c r="J132" s="66"/>
      <c r="K132" s="67"/>
      <c r="L132" s="72"/>
      <c r="M132" s="67"/>
      <c r="N132" s="67"/>
      <c r="O132" s="67"/>
      <c r="P132" s="67"/>
      <c r="Q132" s="67"/>
      <c r="R132" s="67"/>
      <c r="S132" s="67"/>
      <c r="T132" s="67"/>
      <c r="U132" s="67"/>
      <c r="V132" s="4"/>
      <c r="W132" s="4"/>
      <c r="X132" s="4"/>
      <c r="Y132" s="5"/>
      <c r="Z132" s="5"/>
      <c r="AA132" s="80"/>
      <c r="AB132" s="80"/>
      <c r="AC132" s="80"/>
      <c r="AD132" s="80"/>
      <c r="AE132" s="80"/>
      <c r="AF132" s="80"/>
      <c r="AG132" s="80"/>
      <c r="AH132" s="80"/>
      <c r="AI132" s="6"/>
      <c r="AJ132" s="6"/>
      <c r="AK132" s="83"/>
      <c r="AL132" s="6"/>
      <c r="AM132" s="6"/>
      <c r="AN132" s="6"/>
      <c r="AO132" s="6"/>
      <c r="AP132" s="86"/>
      <c r="AQ132" s="86"/>
      <c r="AR132" s="86"/>
      <c r="AS132" s="86"/>
      <c r="AT132" s="86"/>
      <c r="AU132" s="86"/>
      <c r="AV132" s="86"/>
      <c r="AW132" s="86"/>
      <c r="AX132" s="86"/>
      <c r="AY132" s="86"/>
    </row>
    <row r="133" spans="7:51" s="8" customFormat="1" ht="12.75" x14ac:dyDescent="0.2">
      <c r="G133" s="1"/>
      <c r="H133" s="2"/>
      <c r="I133" s="1"/>
      <c r="J133" s="66"/>
      <c r="K133" s="67"/>
      <c r="L133" s="72"/>
      <c r="M133" s="67"/>
      <c r="N133" s="67"/>
      <c r="O133" s="67"/>
      <c r="P133" s="67"/>
      <c r="Q133" s="67"/>
      <c r="R133" s="67"/>
      <c r="S133" s="67"/>
      <c r="T133" s="67"/>
      <c r="U133" s="67"/>
      <c r="V133" s="4"/>
      <c r="W133" s="4"/>
      <c r="X133" s="4"/>
      <c r="Y133" s="5"/>
      <c r="Z133" s="5"/>
      <c r="AA133" s="80"/>
      <c r="AB133" s="80"/>
      <c r="AC133" s="80"/>
      <c r="AD133" s="80"/>
      <c r="AE133" s="80"/>
      <c r="AF133" s="80"/>
      <c r="AG133" s="80"/>
      <c r="AH133" s="80"/>
      <c r="AI133" s="6"/>
      <c r="AJ133" s="6"/>
      <c r="AK133" s="83"/>
      <c r="AL133" s="6"/>
      <c r="AM133" s="6"/>
      <c r="AN133" s="6"/>
      <c r="AO133" s="6"/>
      <c r="AP133" s="86"/>
      <c r="AQ133" s="86"/>
      <c r="AR133" s="86"/>
      <c r="AS133" s="86"/>
      <c r="AT133" s="86"/>
      <c r="AU133" s="86"/>
      <c r="AV133" s="86"/>
      <c r="AW133" s="86"/>
      <c r="AX133" s="86"/>
      <c r="AY133" s="86"/>
    </row>
    <row r="134" spans="7:51" s="8" customFormat="1" ht="12.75" x14ac:dyDescent="0.2">
      <c r="G134" s="1"/>
      <c r="H134" s="2"/>
      <c r="I134" s="1"/>
      <c r="J134" s="66"/>
      <c r="K134" s="67"/>
      <c r="L134" s="72"/>
      <c r="M134" s="67"/>
      <c r="N134" s="67"/>
      <c r="O134" s="67"/>
      <c r="P134" s="67"/>
      <c r="Q134" s="67"/>
      <c r="R134" s="67"/>
      <c r="S134" s="67"/>
      <c r="T134" s="67"/>
      <c r="U134" s="67"/>
      <c r="V134" s="4"/>
      <c r="W134" s="4"/>
      <c r="X134" s="4"/>
      <c r="Y134" s="5"/>
      <c r="Z134" s="5"/>
      <c r="AA134" s="80"/>
      <c r="AB134" s="80"/>
      <c r="AC134" s="80"/>
      <c r="AD134" s="80"/>
      <c r="AE134" s="80"/>
      <c r="AF134" s="80"/>
      <c r="AG134" s="80"/>
      <c r="AH134" s="80"/>
      <c r="AI134" s="6"/>
      <c r="AJ134" s="6"/>
      <c r="AK134" s="83"/>
      <c r="AL134" s="6"/>
      <c r="AM134" s="6"/>
      <c r="AN134" s="6"/>
      <c r="AO134" s="6"/>
      <c r="AP134" s="86"/>
      <c r="AQ134" s="86"/>
      <c r="AR134" s="86"/>
      <c r="AS134" s="86"/>
      <c r="AT134" s="86"/>
      <c r="AU134" s="86"/>
      <c r="AV134" s="86"/>
      <c r="AW134" s="86"/>
      <c r="AX134" s="86"/>
      <c r="AY134" s="86"/>
    </row>
    <row r="135" spans="7:51" s="8" customFormat="1" ht="12.75" x14ac:dyDescent="0.2">
      <c r="G135" s="1"/>
      <c r="H135" s="2"/>
      <c r="I135" s="1"/>
      <c r="J135" s="66"/>
      <c r="K135" s="67"/>
      <c r="L135" s="72"/>
      <c r="M135" s="67"/>
      <c r="N135" s="67"/>
      <c r="O135" s="67"/>
      <c r="P135" s="67"/>
      <c r="Q135" s="67"/>
      <c r="R135" s="67"/>
      <c r="S135" s="67"/>
      <c r="T135" s="67"/>
      <c r="U135" s="67"/>
      <c r="V135" s="4"/>
      <c r="W135" s="4"/>
      <c r="X135" s="4"/>
      <c r="Y135" s="5"/>
      <c r="Z135" s="5"/>
      <c r="AA135" s="80"/>
      <c r="AB135" s="80"/>
      <c r="AC135" s="80"/>
      <c r="AD135" s="80"/>
      <c r="AE135" s="80"/>
      <c r="AF135" s="80"/>
      <c r="AG135" s="80"/>
      <c r="AH135" s="80"/>
      <c r="AI135" s="6"/>
      <c r="AJ135" s="6"/>
      <c r="AK135" s="83"/>
      <c r="AL135" s="6"/>
      <c r="AM135" s="6"/>
      <c r="AN135" s="6"/>
      <c r="AO135" s="6"/>
      <c r="AP135" s="86"/>
      <c r="AQ135" s="86"/>
      <c r="AR135" s="86"/>
      <c r="AS135" s="86"/>
      <c r="AT135" s="86"/>
      <c r="AU135" s="86"/>
      <c r="AV135" s="86"/>
      <c r="AW135" s="86"/>
      <c r="AX135" s="86"/>
      <c r="AY135" s="86"/>
    </row>
    <row r="136" spans="7:51" s="8" customFormat="1" ht="12.75" x14ac:dyDescent="0.2">
      <c r="G136" s="1"/>
      <c r="H136" s="2"/>
      <c r="I136" s="1"/>
      <c r="J136" s="66"/>
      <c r="K136" s="67"/>
      <c r="L136" s="72"/>
      <c r="M136" s="67"/>
      <c r="N136" s="67"/>
      <c r="O136" s="67"/>
      <c r="P136" s="67"/>
      <c r="Q136" s="67"/>
      <c r="R136" s="67"/>
      <c r="S136" s="67"/>
      <c r="T136" s="67"/>
      <c r="U136" s="67"/>
      <c r="V136" s="4"/>
      <c r="W136" s="4"/>
      <c r="X136" s="4"/>
      <c r="Y136" s="5"/>
      <c r="Z136" s="5"/>
      <c r="AA136" s="80"/>
      <c r="AB136" s="80"/>
      <c r="AC136" s="80"/>
      <c r="AD136" s="80"/>
      <c r="AE136" s="80"/>
      <c r="AF136" s="80"/>
      <c r="AG136" s="80"/>
      <c r="AH136" s="80"/>
      <c r="AI136" s="6"/>
      <c r="AJ136" s="6"/>
      <c r="AK136" s="83"/>
      <c r="AL136" s="6"/>
      <c r="AM136" s="6"/>
      <c r="AN136" s="6"/>
      <c r="AO136" s="6"/>
      <c r="AP136" s="86"/>
      <c r="AQ136" s="86"/>
      <c r="AR136" s="86"/>
      <c r="AS136" s="86"/>
      <c r="AT136" s="86"/>
      <c r="AU136" s="86"/>
      <c r="AV136" s="86"/>
      <c r="AW136" s="86"/>
      <c r="AX136" s="86"/>
      <c r="AY136" s="86"/>
    </row>
    <row r="137" spans="7:51" s="8" customFormat="1" ht="12.75" x14ac:dyDescent="0.2">
      <c r="G137" s="1"/>
      <c r="H137" s="2"/>
      <c r="I137" s="1"/>
      <c r="J137" s="66"/>
      <c r="K137" s="67"/>
      <c r="L137" s="72"/>
      <c r="M137" s="67"/>
      <c r="N137" s="67"/>
      <c r="O137" s="67"/>
      <c r="P137" s="67"/>
      <c r="Q137" s="67"/>
      <c r="R137" s="67"/>
      <c r="S137" s="67"/>
      <c r="T137" s="67"/>
      <c r="U137" s="67"/>
      <c r="V137" s="4"/>
      <c r="W137" s="4"/>
      <c r="X137" s="4"/>
      <c r="Y137" s="5"/>
      <c r="Z137" s="5"/>
      <c r="AA137" s="80"/>
      <c r="AB137" s="80"/>
      <c r="AC137" s="80"/>
      <c r="AD137" s="80"/>
      <c r="AE137" s="80"/>
      <c r="AF137" s="80"/>
      <c r="AG137" s="80"/>
      <c r="AH137" s="80"/>
      <c r="AI137" s="6"/>
      <c r="AJ137" s="6"/>
      <c r="AK137" s="83"/>
      <c r="AL137" s="6"/>
      <c r="AM137" s="6"/>
      <c r="AN137" s="6"/>
      <c r="AO137" s="6"/>
      <c r="AP137" s="86"/>
      <c r="AQ137" s="86"/>
      <c r="AR137" s="86"/>
      <c r="AS137" s="86"/>
      <c r="AT137" s="86"/>
      <c r="AU137" s="86"/>
      <c r="AV137" s="86"/>
      <c r="AW137" s="86"/>
      <c r="AX137" s="86"/>
      <c r="AY137" s="86"/>
    </row>
    <row r="138" spans="7:51" s="8" customFormat="1" ht="12.75" x14ac:dyDescent="0.2">
      <c r="G138" s="1"/>
      <c r="H138" s="2"/>
      <c r="I138" s="1"/>
      <c r="J138" s="66"/>
      <c r="K138" s="67"/>
      <c r="L138" s="72"/>
      <c r="M138" s="67"/>
      <c r="N138" s="67"/>
      <c r="O138" s="67"/>
      <c r="P138" s="67"/>
      <c r="Q138" s="67"/>
      <c r="R138" s="67"/>
      <c r="S138" s="67"/>
      <c r="T138" s="67"/>
      <c r="U138" s="67"/>
      <c r="V138" s="4"/>
      <c r="W138" s="4"/>
      <c r="X138" s="4"/>
      <c r="Y138" s="5"/>
      <c r="Z138" s="5"/>
      <c r="AA138" s="80"/>
      <c r="AB138" s="80"/>
      <c r="AC138" s="80"/>
      <c r="AD138" s="80"/>
      <c r="AE138" s="80"/>
      <c r="AF138" s="80"/>
      <c r="AG138" s="80"/>
      <c r="AH138" s="80"/>
      <c r="AI138" s="6"/>
      <c r="AJ138" s="6"/>
      <c r="AK138" s="83"/>
      <c r="AL138" s="6"/>
      <c r="AM138" s="6"/>
      <c r="AN138" s="6"/>
      <c r="AO138" s="6"/>
      <c r="AP138" s="86"/>
      <c r="AQ138" s="86"/>
      <c r="AR138" s="86"/>
      <c r="AS138" s="86"/>
      <c r="AT138" s="86"/>
      <c r="AU138" s="86"/>
      <c r="AV138" s="86"/>
      <c r="AW138" s="86"/>
      <c r="AX138" s="86"/>
      <c r="AY138" s="86"/>
    </row>
    <row r="139" spans="7:51" s="8" customFormat="1" ht="12.75" x14ac:dyDescent="0.2">
      <c r="G139" s="1"/>
      <c r="H139" s="2"/>
      <c r="I139" s="1"/>
      <c r="J139" s="66"/>
      <c r="K139" s="67"/>
      <c r="L139" s="72"/>
      <c r="M139" s="67"/>
      <c r="N139" s="67"/>
      <c r="O139" s="67"/>
      <c r="P139" s="67"/>
      <c r="Q139" s="67"/>
      <c r="R139" s="67"/>
      <c r="S139" s="67"/>
      <c r="T139" s="67"/>
      <c r="U139" s="67"/>
      <c r="V139" s="4"/>
      <c r="W139" s="4"/>
      <c r="X139" s="4"/>
      <c r="Y139" s="5"/>
      <c r="Z139" s="5"/>
      <c r="AA139" s="80"/>
      <c r="AB139" s="80"/>
      <c r="AC139" s="80"/>
      <c r="AD139" s="80"/>
      <c r="AE139" s="80"/>
      <c r="AF139" s="80"/>
      <c r="AG139" s="80"/>
      <c r="AH139" s="80"/>
      <c r="AI139" s="6"/>
      <c r="AJ139" s="6"/>
      <c r="AK139" s="83"/>
      <c r="AL139" s="6"/>
      <c r="AM139" s="6"/>
      <c r="AN139" s="6"/>
      <c r="AO139" s="6"/>
      <c r="AP139" s="86"/>
      <c r="AQ139" s="86"/>
      <c r="AR139" s="86"/>
      <c r="AS139" s="86"/>
      <c r="AT139" s="86"/>
      <c r="AU139" s="86"/>
      <c r="AV139" s="86"/>
      <c r="AW139" s="86"/>
      <c r="AX139" s="86"/>
      <c r="AY139" s="86"/>
    </row>
    <row r="140" spans="7:51" s="8" customFormat="1" ht="12.75" x14ac:dyDescent="0.2">
      <c r="G140" s="1"/>
      <c r="H140" s="2"/>
      <c r="I140" s="1"/>
      <c r="J140" s="66"/>
      <c r="K140" s="67"/>
      <c r="L140" s="72"/>
      <c r="M140" s="67"/>
      <c r="N140" s="67"/>
      <c r="O140" s="67"/>
      <c r="P140" s="67"/>
      <c r="Q140" s="67"/>
      <c r="R140" s="67"/>
      <c r="S140" s="67"/>
      <c r="T140" s="67"/>
      <c r="U140" s="67"/>
      <c r="V140" s="4"/>
      <c r="W140" s="4"/>
      <c r="X140" s="4"/>
      <c r="Y140" s="5"/>
      <c r="Z140" s="5"/>
      <c r="AA140" s="80"/>
      <c r="AB140" s="80"/>
      <c r="AC140" s="80"/>
      <c r="AD140" s="80"/>
      <c r="AE140" s="80"/>
      <c r="AF140" s="80"/>
      <c r="AG140" s="80"/>
      <c r="AH140" s="80"/>
      <c r="AI140" s="6"/>
      <c r="AJ140" s="6"/>
      <c r="AK140" s="83"/>
      <c r="AL140" s="6"/>
      <c r="AM140" s="6"/>
      <c r="AN140" s="6"/>
      <c r="AO140" s="6"/>
      <c r="AP140" s="86"/>
      <c r="AQ140" s="86"/>
      <c r="AR140" s="86"/>
      <c r="AS140" s="86"/>
      <c r="AT140" s="86"/>
      <c r="AU140" s="86"/>
      <c r="AV140" s="86"/>
      <c r="AW140" s="86"/>
      <c r="AX140" s="86"/>
      <c r="AY140" s="86"/>
    </row>
    <row r="141" spans="7:51" s="8" customFormat="1" ht="12.75" x14ac:dyDescent="0.2">
      <c r="G141" s="1"/>
      <c r="H141" s="2"/>
      <c r="I141" s="1"/>
      <c r="J141" s="66"/>
      <c r="K141" s="67"/>
      <c r="L141" s="72"/>
      <c r="M141" s="67"/>
      <c r="N141" s="67"/>
      <c r="O141" s="67"/>
      <c r="P141" s="67"/>
      <c r="Q141" s="67"/>
      <c r="R141" s="67"/>
      <c r="S141" s="67"/>
      <c r="T141" s="67"/>
      <c r="U141" s="67"/>
      <c r="V141" s="4"/>
      <c r="W141" s="4"/>
      <c r="X141" s="4"/>
      <c r="Y141" s="5"/>
      <c r="Z141" s="5"/>
      <c r="AA141" s="80"/>
      <c r="AB141" s="80"/>
      <c r="AC141" s="80"/>
      <c r="AD141" s="80"/>
      <c r="AE141" s="80"/>
      <c r="AF141" s="80"/>
      <c r="AG141" s="80"/>
      <c r="AH141" s="80"/>
      <c r="AI141" s="6"/>
      <c r="AJ141" s="6"/>
      <c r="AK141" s="83"/>
      <c r="AL141" s="6"/>
      <c r="AM141" s="6"/>
      <c r="AN141" s="6"/>
      <c r="AO141" s="6"/>
      <c r="AP141" s="86"/>
      <c r="AQ141" s="86"/>
      <c r="AR141" s="86"/>
      <c r="AS141" s="86"/>
      <c r="AT141" s="86"/>
      <c r="AU141" s="86"/>
      <c r="AV141" s="86"/>
      <c r="AW141" s="86"/>
      <c r="AX141" s="86"/>
      <c r="AY141" s="86"/>
    </row>
    <row r="142" spans="7:51" s="8" customFormat="1" ht="12.75" x14ac:dyDescent="0.2">
      <c r="G142" s="1"/>
      <c r="H142" s="2"/>
      <c r="I142" s="1"/>
      <c r="J142" s="66"/>
      <c r="K142" s="67"/>
      <c r="L142" s="72"/>
      <c r="M142" s="67"/>
      <c r="N142" s="67"/>
      <c r="O142" s="67"/>
      <c r="P142" s="67"/>
      <c r="Q142" s="67"/>
      <c r="R142" s="67"/>
      <c r="S142" s="67"/>
      <c r="T142" s="67"/>
      <c r="U142" s="67"/>
      <c r="V142" s="4"/>
      <c r="W142" s="4"/>
      <c r="X142" s="4"/>
      <c r="Y142" s="5"/>
      <c r="Z142" s="5"/>
      <c r="AA142" s="80"/>
      <c r="AB142" s="80"/>
      <c r="AC142" s="80"/>
      <c r="AD142" s="80"/>
      <c r="AE142" s="80"/>
      <c r="AF142" s="80"/>
      <c r="AG142" s="80"/>
      <c r="AH142" s="80"/>
      <c r="AI142" s="6"/>
      <c r="AJ142" s="6"/>
      <c r="AK142" s="83"/>
      <c r="AL142" s="6"/>
      <c r="AM142" s="6"/>
      <c r="AN142" s="6"/>
      <c r="AO142" s="6"/>
      <c r="AP142" s="86"/>
      <c r="AQ142" s="86"/>
      <c r="AR142" s="86"/>
      <c r="AS142" s="86"/>
      <c r="AT142" s="86"/>
      <c r="AU142" s="86"/>
      <c r="AV142" s="86"/>
      <c r="AW142" s="86"/>
      <c r="AX142" s="86"/>
      <c r="AY142" s="86"/>
    </row>
    <row r="143" spans="7:51" s="8" customFormat="1" ht="12.75" x14ac:dyDescent="0.2">
      <c r="G143" s="1"/>
      <c r="H143" s="2"/>
      <c r="I143" s="1"/>
      <c r="J143" s="66"/>
      <c r="K143" s="67"/>
      <c r="L143" s="72"/>
      <c r="M143" s="67"/>
      <c r="N143" s="67"/>
      <c r="O143" s="67"/>
      <c r="P143" s="67"/>
      <c r="Q143" s="67"/>
      <c r="R143" s="67"/>
      <c r="S143" s="67"/>
      <c r="T143" s="67"/>
      <c r="U143" s="67"/>
      <c r="V143" s="4"/>
      <c r="W143" s="4"/>
      <c r="X143" s="4"/>
      <c r="Y143" s="5"/>
      <c r="Z143" s="5"/>
      <c r="AA143" s="80"/>
      <c r="AB143" s="80"/>
      <c r="AC143" s="80"/>
      <c r="AD143" s="80"/>
      <c r="AE143" s="80"/>
      <c r="AF143" s="80"/>
      <c r="AG143" s="80"/>
      <c r="AH143" s="80"/>
      <c r="AI143" s="6"/>
      <c r="AJ143" s="6"/>
      <c r="AK143" s="83"/>
      <c r="AL143" s="6"/>
      <c r="AM143" s="6"/>
      <c r="AN143" s="6"/>
      <c r="AO143" s="6"/>
      <c r="AP143" s="86"/>
      <c r="AQ143" s="86"/>
      <c r="AR143" s="86"/>
      <c r="AS143" s="86"/>
      <c r="AT143" s="86"/>
      <c r="AU143" s="86"/>
      <c r="AV143" s="86"/>
      <c r="AW143" s="86"/>
      <c r="AX143" s="86"/>
      <c r="AY143" s="86"/>
    </row>
    <row r="144" spans="7:51" s="8" customFormat="1" ht="12.75" x14ac:dyDescent="0.2">
      <c r="G144" s="1"/>
      <c r="H144" s="2"/>
      <c r="I144" s="1"/>
      <c r="J144" s="66"/>
      <c r="K144" s="67"/>
      <c r="L144" s="72"/>
      <c r="M144" s="67"/>
      <c r="N144" s="67"/>
      <c r="O144" s="67"/>
      <c r="P144" s="67"/>
      <c r="Q144" s="67"/>
      <c r="R144" s="67"/>
      <c r="S144" s="67"/>
      <c r="T144" s="67"/>
      <c r="U144" s="67"/>
      <c r="V144" s="4"/>
      <c r="W144" s="4"/>
      <c r="X144" s="4"/>
      <c r="Y144" s="5"/>
      <c r="Z144" s="5"/>
      <c r="AA144" s="80"/>
      <c r="AB144" s="80"/>
      <c r="AC144" s="80"/>
      <c r="AD144" s="80"/>
      <c r="AE144" s="80"/>
      <c r="AF144" s="80"/>
      <c r="AG144" s="80"/>
      <c r="AH144" s="80"/>
      <c r="AI144" s="6"/>
      <c r="AJ144" s="6"/>
      <c r="AK144" s="83"/>
      <c r="AL144" s="6"/>
      <c r="AM144" s="6"/>
      <c r="AN144" s="6"/>
      <c r="AO144" s="6"/>
      <c r="AP144" s="86"/>
      <c r="AQ144" s="86"/>
      <c r="AR144" s="86"/>
      <c r="AS144" s="86"/>
      <c r="AT144" s="86"/>
      <c r="AU144" s="86"/>
      <c r="AV144" s="86"/>
      <c r="AW144" s="86"/>
      <c r="AX144" s="86"/>
      <c r="AY144" s="86"/>
    </row>
    <row r="145" spans="7:51" s="8" customFormat="1" ht="12.75" x14ac:dyDescent="0.2">
      <c r="G145" s="1"/>
      <c r="H145" s="2"/>
      <c r="I145" s="1"/>
      <c r="J145" s="66"/>
      <c r="K145" s="67"/>
      <c r="L145" s="72"/>
      <c r="M145" s="67"/>
      <c r="N145" s="67"/>
      <c r="O145" s="67"/>
      <c r="P145" s="67"/>
      <c r="Q145" s="67"/>
      <c r="R145" s="67"/>
      <c r="S145" s="67"/>
      <c r="T145" s="67"/>
      <c r="U145" s="67"/>
      <c r="V145" s="4"/>
      <c r="W145" s="4"/>
      <c r="X145" s="4"/>
      <c r="Y145" s="5"/>
      <c r="Z145" s="5"/>
      <c r="AA145" s="80"/>
      <c r="AB145" s="80"/>
      <c r="AC145" s="80"/>
      <c r="AD145" s="80"/>
      <c r="AE145" s="80"/>
      <c r="AF145" s="80"/>
      <c r="AG145" s="80"/>
      <c r="AH145" s="80"/>
      <c r="AI145" s="6"/>
      <c r="AJ145" s="6"/>
      <c r="AK145" s="83"/>
      <c r="AL145" s="6"/>
      <c r="AM145" s="6"/>
      <c r="AN145" s="6"/>
      <c r="AO145" s="6"/>
      <c r="AP145" s="86"/>
      <c r="AQ145" s="86"/>
      <c r="AR145" s="86"/>
      <c r="AS145" s="86"/>
      <c r="AT145" s="86"/>
      <c r="AU145" s="86"/>
      <c r="AV145" s="86"/>
      <c r="AW145" s="86"/>
      <c r="AX145" s="86"/>
      <c r="AY145" s="86"/>
    </row>
    <row r="146" spans="7:51" s="8" customFormat="1" ht="12.75" x14ac:dyDescent="0.2">
      <c r="G146" s="1"/>
      <c r="H146" s="2"/>
      <c r="I146" s="1"/>
      <c r="J146" s="66"/>
      <c r="K146" s="67"/>
      <c r="L146" s="72"/>
      <c r="M146" s="67"/>
      <c r="N146" s="67"/>
      <c r="O146" s="67"/>
      <c r="P146" s="67"/>
      <c r="Q146" s="67"/>
      <c r="R146" s="67"/>
      <c r="S146" s="67"/>
      <c r="T146" s="67"/>
      <c r="U146" s="67"/>
      <c r="V146" s="4"/>
      <c r="W146" s="4"/>
      <c r="X146" s="4"/>
      <c r="Y146" s="5"/>
      <c r="Z146" s="5"/>
      <c r="AA146" s="80"/>
      <c r="AB146" s="80"/>
      <c r="AC146" s="80"/>
      <c r="AD146" s="80"/>
      <c r="AE146" s="80"/>
      <c r="AF146" s="80"/>
      <c r="AG146" s="80"/>
      <c r="AH146" s="80"/>
      <c r="AI146" s="6"/>
      <c r="AJ146" s="6"/>
      <c r="AK146" s="83"/>
      <c r="AL146" s="6"/>
      <c r="AM146" s="6"/>
      <c r="AN146" s="6"/>
      <c r="AO146" s="6"/>
      <c r="AP146" s="86"/>
      <c r="AQ146" s="86"/>
      <c r="AR146" s="86"/>
      <c r="AS146" s="86"/>
      <c r="AT146" s="86"/>
      <c r="AU146" s="86"/>
      <c r="AV146" s="86"/>
      <c r="AW146" s="86"/>
      <c r="AX146" s="86"/>
      <c r="AY146" s="86"/>
    </row>
    <row r="147" spans="7:51" s="8" customFormat="1" ht="12.75" x14ac:dyDescent="0.2">
      <c r="G147" s="1"/>
      <c r="H147" s="2"/>
      <c r="I147" s="1"/>
      <c r="J147" s="66"/>
      <c r="K147" s="67"/>
      <c r="L147" s="72"/>
      <c r="M147" s="67"/>
      <c r="N147" s="67"/>
      <c r="O147" s="67"/>
      <c r="P147" s="67"/>
      <c r="Q147" s="67"/>
      <c r="R147" s="67"/>
      <c r="S147" s="67"/>
      <c r="T147" s="67"/>
      <c r="U147" s="67"/>
      <c r="V147" s="4"/>
      <c r="W147" s="4"/>
      <c r="X147" s="4"/>
      <c r="Y147" s="5"/>
      <c r="Z147" s="5"/>
      <c r="AA147" s="80"/>
      <c r="AB147" s="80"/>
      <c r="AC147" s="80"/>
      <c r="AD147" s="80"/>
      <c r="AE147" s="80"/>
      <c r="AF147" s="80"/>
      <c r="AG147" s="80"/>
      <c r="AH147" s="80"/>
      <c r="AI147" s="6"/>
      <c r="AJ147" s="6"/>
      <c r="AK147" s="83"/>
      <c r="AL147" s="6"/>
      <c r="AM147" s="6"/>
      <c r="AN147" s="6"/>
      <c r="AO147" s="6"/>
      <c r="AP147" s="86"/>
      <c r="AQ147" s="86"/>
      <c r="AR147" s="86"/>
      <c r="AS147" s="86"/>
      <c r="AT147" s="86"/>
      <c r="AU147" s="86"/>
      <c r="AV147" s="86"/>
      <c r="AW147" s="86"/>
      <c r="AX147" s="86"/>
      <c r="AY147" s="86"/>
    </row>
    <row r="148" spans="7:51" s="8" customFormat="1" ht="12.75" x14ac:dyDescent="0.2">
      <c r="G148" s="1"/>
      <c r="H148" s="2"/>
      <c r="I148" s="1"/>
      <c r="J148" s="66"/>
      <c r="K148" s="67"/>
      <c r="L148" s="72"/>
      <c r="M148" s="67"/>
      <c r="N148" s="67"/>
      <c r="O148" s="67"/>
      <c r="P148" s="67"/>
      <c r="Q148" s="67"/>
      <c r="R148" s="67"/>
      <c r="S148" s="67"/>
      <c r="T148" s="67"/>
      <c r="U148" s="67"/>
      <c r="V148" s="4"/>
      <c r="W148" s="4"/>
      <c r="X148" s="4"/>
      <c r="Y148" s="5"/>
      <c r="Z148" s="5"/>
      <c r="AA148" s="80"/>
      <c r="AB148" s="80"/>
      <c r="AC148" s="80"/>
      <c r="AD148" s="80"/>
      <c r="AE148" s="80"/>
      <c r="AF148" s="80"/>
      <c r="AG148" s="80"/>
      <c r="AH148" s="80"/>
      <c r="AI148" s="6"/>
      <c r="AJ148" s="6"/>
      <c r="AK148" s="83"/>
      <c r="AL148" s="6"/>
      <c r="AM148" s="6"/>
      <c r="AN148" s="6"/>
      <c r="AO148" s="6"/>
      <c r="AP148" s="86"/>
      <c r="AQ148" s="86"/>
      <c r="AR148" s="86"/>
      <c r="AS148" s="86"/>
      <c r="AT148" s="86"/>
      <c r="AU148" s="86"/>
      <c r="AV148" s="86"/>
      <c r="AW148" s="86"/>
      <c r="AX148" s="86"/>
      <c r="AY148" s="86"/>
    </row>
    <row r="149" spans="7:51" s="8" customFormat="1" ht="12.75" x14ac:dyDescent="0.2">
      <c r="G149" s="1"/>
      <c r="H149" s="2"/>
      <c r="I149" s="1"/>
      <c r="J149" s="66"/>
      <c r="K149" s="67"/>
      <c r="L149" s="72"/>
      <c r="M149" s="67"/>
      <c r="N149" s="67"/>
      <c r="O149" s="67"/>
      <c r="P149" s="67"/>
      <c r="Q149" s="67"/>
      <c r="R149" s="67"/>
      <c r="S149" s="67"/>
      <c r="T149" s="67"/>
      <c r="U149" s="67"/>
      <c r="V149" s="4"/>
      <c r="W149" s="4"/>
      <c r="X149" s="4"/>
      <c r="Y149" s="5"/>
      <c r="Z149" s="5"/>
      <c r="AA149" s="80"/>
      <c r="AB149" s="80"/>
      <c r="AC149" s="80"/>
      <c r="AD149" s="80"/>
      <c r="AE149" s="80"/>
      <c r="AF149" s="80"/>
      <c r="AG149" s="80"/>
      <c r="AH149" s="80"/>
      <c r="AI149" s="6"/>
      <c r="AJ149" s="6"/>
      <c r="AK149" s="83"/>
      <c r="AL149" s="6"/>
      <c r="AM149" s="6"/>
      <c r="AN149" s="6"/>
      <c r="AO149" s="6"/>
      <c r="AP149" s="86"/>
      <c r="AQ149" s="86"/>
      <c r="AR149" s="86"/>
      <c r="AS149" s="86"/>
      <c r="AT149" s="86"/>
      <c r="AU149" s="86"/>
      <c r="AV149" s="86"/>
      <c r="AW149" s="86"/>
      <c r="AX149" s="86"/>
      <c r="AY149" s="86"/>
    </row>
    <row r="150" spans="7:51" s="8" customFormat="1" ht="12.75" x14ac:dyDescent="0.2">
      <c r="G150" s="1"/>
      <c r="H150" s="2"/>
      <c r="I150" s="1"/>
      <c r="J150" s="66"/>
      <c r="K150" s="67"/>
      <c r="L150" s="72"/>
      <c r="M150" s="67"/>
      <c r="N150" s="67"/>
      <c r="O150" s="67"/>
      <c r="P150" s="67"/>
      <c r="Q150" s="67"/>
      <c r="R150" s="67"/>
      <c r="S150" s="67"/>
      <c r="T150" s="67"/>
      <c r="U150" s="67"/>
      <c r="V150" s="4"/>
      <c r="W150" s="4"/>
      <c r="X150" s="4"/>
      <c r="Y150" s="5"/>
      <c r="Z150" s="5"/>
      <c r="AA150" s="80"/>
      <c r="AB150" s="80"/>
      <c r="AC150" s="80"/>
      <c r="AD150" s="80"/>
      <c r="AE150" s="80"/>
      <c r="AF150" s="80"/>
      <c r="AG150" s="80"/>
      <c r="AH150" s="80"/>
      <c r="AI150" s="6"/>
      <c r="AJ150" s="6"/>
      <c r="AK150" s="83"/>
      <c r="AL150" s="6"/>
      <c r="AM150" s="6"/>
      <c r="AN150" s="6"/>
      <c r="AO150" s="6"/>
      <c r="AP150" s="86"/>
      <c r="AQ150" s="86"/>
      <c r="AR150" s="86"/>
      <c r="AS150" s="86"/>
      <c r="AT150" s="86"/>
      <c r="AU150" s="86"/>
      <c r="AV150" s="86"/>
      <c r="AW150" s="86"/>
      <c r="AX150" s="86"/>
      <c r="AY150" s="86"/>
    </row>
    <row r="151" spans="7:51" s="8" customFormat="1" ht="12.75" x14ac:dyDescent="0.2">
      <c r="G151" s="1"/>
      <c r="H151" s="2"/>
      <c r="I151" s="1"/>
      <c r="J151" s="66"/>
      <c r="K151" s="67"/>
      <c r="L151" s="72"/>
      <c r="M151" s="67"/>
      <c r="N151" s="67"/>
      <c r="O151" s="67"/>
      <c r="P151" s="67"/>
      <c r="Q151" s="67"/>
      <c r="R151" s="67"/>
      <c r="S151" s="67"/>
      <c r="T151" s="67"/>
      <c r="U151" s="67"/>
      <c r="V151" s="4"/>
      <c r="W151" s="4"/>
      <c r="X151" s="4"/>
      <c r="Y151" s="5"/>
      <c r="Z151" s="5"/>
      <c r="AA151" s="80"/>
      <c r="AB151" s="80"/>
      <c r="AC151" s="80"/>
      <c r="AD151" s="80"/>
      <c r="AE151" s="80"/>
      <c r="AF151" s="80"/>
      <c r="AG151" s="80"/>
      <c r="AH151" s="80"/>
      <c r="AI151" s="6"/>
      <c r="AJ151" s="6"/>
      <c r="AK151" s="83"/>
      <c r="AL151" s="6"/>
      <c r="AM151" s="6"/>
      <c r="AN151" s="6"/>
      <c r="AO151" s="6"/>
      <c r="AP151" s="86"/>
      <c r="AQ151" s="86"/>
      <c r="AR151" s="86"/>
      <c r="AS151" s="86"/>
      <c r="AT151" s="86"/>
      <c r="AU151" s="86"/>
      <c r="AV151" s="86"/>
      <c r="AW151" s="86"/>
      <c r="AX151" s="86"/>
      <c r="AY151" s="86"/>
    </row>
    <row r="152" spans="7:51" s="8" customFormat="1" ht="12.75" x14ac:dyDescent="0.2">
      <c r="G152" s="1"/>
      <c r="H152" s="2"/>
      <c r="I152" s="1"/>
      <c r="J152" s="66"/>
      <c r="K152" s="67"/>
      <c r="L152" s="72"/>
      <c r="M152" s="67"/>
      <c r="N152" s="67"/>
      <c r="O152" s="67"/>
      <c r="P152" s="67"/>
      <c r="Q152" s="67"/>
      <c r="R152" s="67"/>
      <c r="S152" s="67"/>
      <c r="T152" s="67"/>
      <c r="U152" s="67"/>
      <c r="V152" s="4"/>
      <c r="W152" s="4"/>
      <c r="X152" s="4"/>
      <c r="Y152" s="5"/>
      <c r="Z152" s="5"/>
      <c r="AA152" s="80"/>
      <c r="AB152" s="80"/>
      <c r="AC152" s="80"/>
      <c r="AD152" s="80"/>
      <c r="AE152" s="80"/>
      <c r="AF152" s="80"/>
      <c r="AG152" s="80"/>
      <c r="AH152" s="80"/>
      <c r="AI152" s="6"/>
      <c r="AJ152" s="6"/>
      <c r="AK152" s="83"/>
      <c r="AL152" s="6"/>
      <c r="AM152" s="6"/>
      <c r="AN152" s="6"/>
      <c r="AO152" s="6"/>
      <c r="AP152" s="86"/>
      <c r="AQ152" s="86"/>
      <c r="AR152" s="86"/>
      <c r="AS152" s="86"/>
      <c r="AT152" s="86"/>
      <c r="AU152" s="86"/>
      <c r="AV152" s="86"/>
      <c r="AW152" s="86"/>
      <c r="AX152" s="86"/>
      <c r="AY152" s="86"/>
    </row>
    <row r="153" spans="7:51" s="8" customFormat="1" ht="12.75" x14ac:dyDescent="0.2">
      <c r="G153" s="1"/>
      <c r="H153" s="2"/>
      <c r="I153" s="1"/>
      <c r="J153" s="66"/>
      <c r="K153" s="67"/>
      <c r="L153" s="72"/>
      <c r="M153" s="67"/>
      <c r="N153" s="67"/>
      <c r="O153" s="67"/>
      <c r="P153" s="67"/>
      <c r="Q153" s="67"/>
      <c r="R153" s="67"/>
      <c r="S153" s="67"/>
      <c r="T153" s="67"/>
      <c r="U153" s="67"/>
      <c r="V153" s="4"/>
      <c r="W153" s="4"/>
      <c r="X153" s="4"/>
      <c r="Y153" s="5"/>
      <c r="Z153" s="5"/>
      <c r="AA153" s="80"/>
      <c r="AB153" s="80"/>
      <c r="AC153" s="80"/>
      <c r="AD153" s="80"/>
      <c r="AE153" s="80"/>
      <c r="AF153" s="80"/>
      <c r="AG153" s="80"/>
      <c r="AH153" s="80"/>
      <c r="AI153" s="6"/>
      <c r="AJ153" s="6"/>
      <c r="AK153" s="83"/>
      <c r="AL153" s="6"/>
      <c r="AM153" s="6"/>
      <c r="AN153" s="6"/>
      <c r="AO153" s="6"/>
      <c r="AP153" s="86"/>
      <c r="AQ153" s="86"/>
      <c r="AR153" s="86"/>
      <c r="AS153" s="86"/>
      <c r="AT153" s="86"/>
      <c r="AU153" s="86"/>
      <c r="AV153" s="86"/>
      <c r="AW153" s="86"/>
      <c r="AX153" s="86"/>
      <c r="AY153" s="86"/>
    </row>
    <row r="154" spans="7:51" s="8" customFormat="1" ht="12.75" x14ac:dyDescent="0.2">
      <c r="G154" s="1"/>
      <c r="H154" s="2"/>
      <c r="I154" s="1"/>
      <c r="J154" s="66"/>
      <c r="K154" s="67"/>
      <c r="L154" s="72"/>
      <c r="M154" s="67"/>
      <c r="N154" s="67"/>
      <c r="O154" s="67"/>
      <c r="P154" s="67"/>
      <c r="Q154" s="67"/>
      <c r="R154" s="67"/>
      <c r="S154" s="67"/>
      <c r="T154" s="67"/>
      <c r="U154" s="67"/>
      <c r="V154" s="4"/>
      <c r="W154" s="4"/>
      <c r="X154" s="4"/>
      <c r="Y154" s="5"/>
      <c r="Z154" s="5"/>
      <c r="AA154" s="80"/>
      <c r="AB154" s="80"/>
      <c r="AC154" s="80"/>
      <c r="AD154" s="80"/>
      <c r="AE154" s="80"/>
      <c r="AF154" s="80"/>
      <c r="AG154" s="80"/>
      <c r="AH154" s="80"/>
      <c r="AI154" s="6"/>
      <c r="AJ154" s="6"/>
      <c r="AK154" s="83"/>
      <c r="AL154" s="6"/>
      <c r="AM154" s="6"/>
      <c r="AN154" s="6"/>
      <c r="AO154" s="6"/>
      <c r="AP154" s="86"/>
      <c r="AQ154" s="86"/>
      <c r="AR154" s="86"/>
      <c r="AS154" s="86"/>
      <c r="AT154" s="86"/>
      <c r="AU154" s="86"/>
      <c r="AV154" s="86"/>
      <c r="AW154" s="86"/>
      <c r="AX154" s="86"/>
      <c r="AY154" s="86"/>
    </row>
    <row r="155" spans="7:51" s="8" customFormat="1" ht="12.75" x14ac:dyDescent="0.2">
      <c r="G155" s="1"/>
      <c r="H155" s="2"/>
      <c r="I155" s="1"/>
      <c r="J155" s="66"/>
      <c r="K155" s="67"/>
      <c r="L155" s="72"/>
      <c r="M155" s="67"/>
      <c r="N155" s="67"/>
      <c r="O155" s="67"/>
      <c r="P155" s="67"/>
      <c r="Q155" s="67"/>
      <c r="R155" s="67"/>
      <c r="S155" s="67"/>
      <c r="T155" s="67"/>
      <c r="U155" s="67"/>
      <c r="V155" s="4"/>
      <c r="W155" s="4"/>
      <c r="X155" s="4"/>
      <c r="Y155" s="5"/>
      <c r="Z155" s="5"/>
      <c r="AA155" s="80"/>
      <c r="AB155" s="80"/>
      <c r="AC155" s="80"/>
      <c r="AD155" s="80"/>
      <c r="AE155" s="80"/>
      <c r="AF155" s="80"/>
      <c r="AG155" s="80"/>
      <c r="AH155" s="80"/>
      <c r="AI155" s="6"/>
      <c r="AJ155" s="6"/>
      <c r="AK155" s="83"/>
      <c r="AL155" s="6"/>
      <c r="AM155" s="6"/>
      <c r="AN155" s="6"/>
      <c r="AO155" s="6"/>
      <c r="AP155" s="86"/>
      <c r="AQ155" s="86"/>
      <c r="AR155" s="86"/>
      <c r="AS155" s="86"/>
      <c r="AT155" s="86"/>
      <c r="AU155" s="86"/>
      <c r="AV155" s="86"/>
      <c r="AW155" s="86"/>
      <c r="AX155" s="86"/>
      <c r="AY155" s="86"/>
    </row>
    <row r="156" spans="7:51" s="8" customFormat="1" ht="12.75" x14ac:dyDescent="0.2">
      <c r="G156" s="1"/>
      <c r="H156" s="2"/>
      <c r="I156" s="1"/>
      <c r="J156" s="66"/>
      <c r="K156" s="67"/>
      <c r="L156" s="72"/>
      <c r="M156" s="67"/>
      <c r="N156" s="67"/>
      <c r="O156" s="67"/>
      <c r="P156" s="67"/>
      <c r="Q156" s="67"/>
      <c r="R156" s="67"/>
      <c r="S156" s="67"/>
      <c r="T156" s="67"/>
      <c r="U156" s="67"/>
      <c r="V156" s="4"/>
      <c r="W156" s="4"/>
      <c r="X156" s="4"/>
      <c r="Y156" s="5"/>
      <c r="Z156" s="5"/>
      <c r="AA156" s="80"/>
      <c r="AB156" s="80"/>
      <c r="AC156" s="80"/>
      <c r="AD156" s="80"/>
      <c r="AE156" s="80"/>
      <c r="AF156" s="80"/>
      <c r="AG156" s="80"/>
      <c r="AH156" s="80"/>
      <c r="AI156" s="6"/>
      <c r="AJ156" s="6"/>
      <c r="AK156" s="83"/>
      <c r="AL156" s="6"/>
      <c r="AM156" s="6"/>
      <c r="AN156" s="6"/>
      <c r="AO156" s="6"/>
      <c r="AP156" s="86"/>
      <c r="AQ156" s="86"/>
      <c r="AR156" s="86"/>
      <c r="AS156" s="86"/>
      <c r="AT156" s="86"/>
      <c r="AU156" s="86"/>
      <c r="AV156" s="86"/>
      <c r="AW156" s="86"/>
      <c r="AX156" s="86"/>
      <c r="AY156" s="86"/>
    </row>
    <row r="157" spans="7:51" s="8" customFormat="1" ht="12.75" x14ac:dyDescent="0.2">
      <c r="G157" s="1"/>
      <c r="H157" s="2"/>
      <c r="I157" s="1"/>
      <c r="J157" s="66"/>
      <c r="K157" s="67"/>
      <c r="L157" s="72"/>
      <c r="M157" s="67"/>
      <c r="N157" s="67"/>
      <c r="O157" s="67"/>
      <c r="P157" s="67"/>
      <c r="Q157" s="67"/>
      <c r="R157" s="67"/>
      <c r="S157" s="67"/>
      <c r="T157" s="67"/>
      <c r="U157" s="67"/>
      <c r="V157" s="4"/>
      <c r="W157" s="4"/>
      <c r="X157" s="4"/>
      <c r="Y157" s="5"/>
      <c r="Z157" s="5"/>
      <c r="AA157" s="80"/>
      <c r="AB157" s="80"/>
      <c r="AC157" s="80"/>
      <c r="AD157" s="80"/>
      <c r="AE157" s="80"/>
      <c r="AF157" s="80"/>
      <c r="AG157" s="80"/>
      <c r="AH157" s="80"/>
      <c r="AI157" s="6"/>
      <c r="AJ157" s="6"/>
      <c r="AK157" s="83"/>
      <c r="AL157" s="6"/>
      <c r="AM157" s="6"/>
      <c r="AN157" s="6"/>
      <c r="AO157" s="6"/>
      <c r="AP157" s="86"/>
      <c r="AQ157" s="86"/>
      <c r="AR157" s="86"/>
      <c r="AS157" s="86"/>
      <c r="AT157" s="86"/>
      <c r="AU157" s="86"/>
      <c r="AV157" s="86"/>
      <c r="AW157" s="86"/>
      <c r="AX157" s="86"/>
      <c r="AY157" s="86"/>
    </row>
    <row r="158" spans="7:51" s="8" customFormat="1" ht="12.75" x14ac:dyDescent="0.2">
      <c r="G158" s="1"/>
      <c r="H158" s="2"/>
      <c r="I158" s="1"/>
      <c r="J158" s="66"/>
      <c r="K158" s="67"/>
      <c r="L158" s="72"/>
      <c r="M158" s="67"/>
      <c r="N158" s="67"/>
      <c r="O158" s="67"/>
      <c r="P158" s="67"/>
      <c r="Q158" s="67"/>
      <c r="R158" s="67"/>
      <c r="S158" s="67"/>
      <c r="T158" s="67"/>
      <c r="U158" s="67"/>
      <c r="V158" s="4"/>
      <c r="W158" s="4"/>
      <c r="X158" s="4"/>
      <c r="Y158" s="5"/>
      <c r="Z158" s="5"/>
      <c r="AA158" s="80"/>
      <c r="AB158" s="80"/>
      <c r="AC158" s="80"/>
      <c r="AD158" s="80"/>
      <c r="AE158" s="80"/>
      <c r="AF158" s="80"/>
      <c r="AG158" s="80"/>
      <c r="AH158" s="80"/>
      <c r="AI158" s="6"/>
      <c r="AJ158" s="6"/>
      <c r="AK158" s="83"/>
      <c r="AL158" s="6"/>
      <c r="AM158" s="6"/>
      <c r="AN158" s="6"/>
      <c r="AO158" s="6"/>
      <c r="AP158" s="86"/>
      <c r="AQ158" s="86"/>
      <c r="AR158" s="86"/>
      <c r="AS158" s="86"/>
      <c r="AT158" s="86"/>
      <c r="AU158" s="86"/>
      <c r="AV158" s="86"/>
      <c r="AW158" s="86"/>
      <c r="AX158" s="86"/>
      <c r="AY158" s="86"/>
    </row>
    <row r="159" spans="7:51" s="8" customFormat="1" ht="12.75" x14ac:dyDescent="0.2">
      <c r="G159" s="1"/>
      <c r="H159" s="2"/>
      <c r="I159" s="1"/>
      <c r="J159" s="66"/>
      <c r="K159" s="67"/>
      <c r="L159" s="72"/>
      <c r="M159" s="67"/>
      <c r="N159" s="67"/>
      <c r="O159" s="67"/>
      <c r="P159" s="67"/>
      <c r="Q159" s="67"/>
      <c r="R159" s="67"/>
      <c r="S159" s="67"/>
      <c r="T159" s="67"/>
      <c r="U159" s="67"/>
      <c r="V159" s="4"/>
      <c r="W159" s="4"/>
      <c r="X159" s="4"/>
      <c r="Y159" s="5"/>
      <c r="Z159" s="5"/>
      <c r="AA159" s="80"/>
      <c r="AB159" s="80"/>
      <c r="AC159" s="80"/>
      <c r="AD159" s="80"/>
      <c r="AE159" s="80"/>
      <c r="AF159" s="80"/>
      <c r="AG159" s="80"/>
      <c r="AH159" s="80"/>
      <c r="AI159" s="6"/>
      <c r="AJ159" s="6"/>
      <c r="AK159" s="83"/>
      <c r="AL159" s="6"/>
      <c r="AM159" s="6"/>
      <c r="AN159" s="6"/>
      <c r="AO159" s="6"/>
      <c r="AP159" s="86"/>
      <c r="AQ159" s="86"/>
      <c r="AR159" s="86"/>
      <c r="AS159" s="86"/>
      <c r="AT159" s="86"/>
      <c r="AU159" s="86"/>
      <c r="AV159" s="86"/>
      <c r="AW159" s="86"/>
      <c r="AX159" s="86"/>
      <c r="AY159" s="86"/>
    </row>
    <row r="160" spans="7:51" s="8" customFormat="1" ht="12.75" x14ac:dyDescent="0.2">
      <c r="G160" s="1"/>
      <c r="H160" s="2"/>
      <c r="I160" s="1"/>
      <c r="J160" s="66"/>
      <c r="K160" s="67"/>
      <c r="L160" s="72"/>
      <c r="M160" s="67"/>
      <c r="N160" s="67"/>
      <c r="O160" s="67"/>
      <c r="P160" s="67"/>
      <c r="Q160" s="67"/>
      <c r="R160" s="67"/>
      <c r="S160" s="67"/>
      <c r="T160" s="67"/>
      <c r="U160" s="67"/>
      <c r="V160" s="4"/>
      <c r="W160" s="4"/>
      <c r="X160" s="4"/>
      <c r="Y160" s="5"/>
      <c r="Z160" s="5"/>
      <c r="AA160" s="80"/>
      <c r="AB160" s="80"/>
      <c r="AC160" s="80"/>
      <c r="AD160" s="80"/>
      <c r="AE160" s="80"/>
      <c r="AF160" s="80"/>
      <c r="AG160" s="80"/>
      <c r="AH160" s="80"/>
      <c r="AI160" s="6"/>
      <c r="AJ160" s="6"/>
      <c r="AK160" s="83"/>
      <c r="AL160" s="6"/>
      <c r="AM160" s="6"/>
      <c r="AN160" s="6"/>
      <c r="AO160" s="6"/>
      <c r="AP160" s="86"/>
      <c r="AQ160" s="86"/>
      <c r="AR160" s="86"/>
      <c r="AS160" s="86"/>
      <c r="AT160" s="86"/>
      <c r="AU160" s="86"/>
      <c r="AV160" s="86"/>
      <c r="AW160" s="86"/>
      <c r="AX160" s="86"/>
      <c r="AY160" s="86"/>
    </row>
    <row r="161" spans="7:51" s="8" customFormat="1" ht="12.75" x14ac:dyDescent="0.2">
      <c r="G161" s="1"/>
      <c r="H161" s="2"/>
      <c r="I161" s="1"/>
      <c r="J161" s="66"/>
      <c r="K161" s="67"/>
      <c r="L161" s="72"/>
      <c r="M161" s="67"/>
      <c r="N161" s="67"/>
      <c r="O161" s="67"/>
      <c r="P161" s="67"/>
      <c r="Q161" s="67"/>
      <c r="R161" s="67"/>
      <c r="S161" s="67"/>
      <c r="T161" s="67"/>
      <c r="U161" s="67"/>
      <c r="V161" s="4"/>
      <c r="W161" s="4"/>
      <c r="X161" s="4"/>
      <c r="Y161" s="5"/>
      <c r="Z161" s="5"/>
      <c r="AA161" s="80"/>
      <c r="AB161" s="80"/>
      <c r="AC161" s="80"/>
      <c r="AD161" s="80"/>
      <c r="AE161" s="80"/>
      <c r="AF161" s="80"/>
      <c r="AG161" s="80"/>
      <c r="AH161" s="80"/>
      <c r="AI161" s="6"/>
      <c r="AJ161" s="6"/>
      <c r="AK161" s="83"/>
      <c r="AL161" s="6"/>
      <c r="AM161" s="6"/>
      <c r="AN161" s="6"/>
      <c r="AO161" s="6"/>
      <c r="AP161" s="86"/>
      <c r="AQ161" s="86"/>
      <c r="AR161" s="86"/>
      <c r="AS161" s="86"/>
      <c r="AT161" s="86"/>
      <c r="AU161" s="86"/>
      <c r="AV161" s="86"/>
      <c r="AW161" s="86"/>
      <c r="AX161" s="86"/>
      <c r="AY161" s="86"/>
    </row>
    <row r="162" spans="7:51" s="8" customFormat="1" ht="12.75" x14ac:dyDescent="0.2">
      <c r="G162" s="1"/>
      <c r="H162" s="2"/>
      <c r="I162" s="1"/>
      <c r="J162" s="66"/>
      <c r="K162" s="67"/>
      <c r="L162" s="72"/>
      <c r="M162" s="67"/>
      <c r="N162" s="67"/>
      <c r="O162" s="67"/>
      <c r="P162" s="67"/>
      <c r="Q162" s="67"/>
      <c r="R162" s="67"/>
      <c r="S162" s="67"/>
      <c r="T162" s="67"/>
      <c r="U162" s="67"/>
      <c r="V162" s="4"/>
      <c r="W162" s="4"/>
      <c r="X162" s="4"/>
      <c r="Y162" s="5"/>
      <c r="Z162" s="5"/>
      <c r="AA162" s="80"/>
      <c r="AB162" s="80"/>
      <c r="AC162" s="80"/>
      <c r="AD162" s="80"/>
      <c r="AE162" s="80"/>
      <c r="AF162" s="80"/>
      <c r="AG162" s="80"/>
      <c r="AH162" s="80"/>
      <c r="AI162" s="6"/>
      <c r="AJ162" s="6"/>
      <c r="AK162" s="83"/>
      <c r="AL162" s="6"/>
      <c r="AM162" s="6"/>
      <c r="AN162" s="6"/>
      <c r="AO162" s="6"/>
      <c r="AP162" s="86"/>
      <c r="AQ162" s="86"/>
      <c r="AR162" s="86"/>
      <c r="AS162" s="86"/>
      <c r="AT162" s="86"/>
      <c r="AU162" s="86"/>
      <c r="AV162" s="86"/>
      <c r="AW162" s="86"/>
      <c r="AX162" s="86"/>
      <c r="AY162" s="86"/>
    </row>
    <row r="163" spans="7:51" s="8" customFormat="1" ht="12.75" x14ac:dyDescent="0.2">
      <c r="G163" s="1"/>
      <c r="H163" s="2"/>
      <c r="I163" s="1"/>
      <c r="J163" s="66"/>
      <c r="K163" s="67"/>
      <c r="L163" s="72"/>
      <c r="M163" s="67"/>
      <c r="N163" s="67"/>
      <c r="O163" s="67"/>
      <c r="P163" s="67"/>
      <c r="Q163" s="67"/>
      <c r="R163" s="67"/>
      <c r="S163" s="67"/>
      <c r="T163" s="67"/>
      <c r="U163" s="67"/>
      <c r="V163" s="4"/>
      <c r="W163" s="4"/>
      <c r="X163" s="4"/>
      <c r="Y163" s="5"/>
      <c r="Z163" s="5"/>
      <c r="AA163" s="80"/>
      <c r="AB163" s="80"/>
      <c r="AC163" s="80"/>
      <c r="AD163" s="80"/>
      <c r="AE163" s="80"/>
      <c r="AF163" s="80"/>
      <c r="AG163" s="80"/>
      <c r="AH163" s="80"/>
      <c r="AI163" s="6"/>
      <c r="AJ163" s="6"/>
      <c r="AK163" s="83"/>
      <c r="AL163" s="6"/>
      <c r="AM163" s="6"/>
      <c r="AN163" s="6"/>
      <c r="AO163" s="6"/>
      <c r="AP163" s="86"/>
      <c r="AQ163" s="86"/>
      <c r="AR163" s="86"/>
      <c r="AS163" s="86"/>
      <c r="AT163" s="86"/>
      <c r="AU163" s="86"/>
      <c r="AV163" s="86"/>
      <c r="AW163" s="86"/>
      <c r="AX163" s="86"/>
      <c r="AY163" s="86"/>
    </row>
    <row r="164" spans="7:51" s="8" customFormat="1" ht="12.75" x14ac:dyDescent="0.2">
      <c r="G164" s="1"/>
      <c r="H164" s="2"/>
      <c r="I164" s="1"/>
      <c r="J164" s="66"/>
      <c r="K164" s="67"/>
      <c r="L164" s="72"/>
      <c r="M164" s="67"/>
      <c r="N164" s="67"/>
      <c r="O164" s="67"/>
      <c r="P164" s="67"/>
      <c r="Q164" s="67"/>
      <c r="R164" s="67"/>
      <c r="S164" s="67"/>
      <c r="T164" s="67"/>
      <c r="U164" s="67"/>
      <c r="V164" s="4"/>
      <c r="W164" s="4"/>
      <c r="X164" s="4"/>
      <c r="Y164" s="5"/>
      <c r="Z164" s="5"/>
      <c r="AA164" s="80"/>
      <c r="AB164" s="80"/>
      <c r="AC164" s="80"/>
      <c r="AD164" s="80"/>
      <c r="AE164" s="80"/>
      <c r="AF164" s="80"/>
      <c r="AG164" s="80"/>
      <c r="AH164" s="80"/>
      <c r="AI164" s="6"/>
      <c r="AJ164" s="6"/>
      <c r="AK164" s="83"/>
      <c r="AL164" s="6"/>
      <c r="AM164" s="6"/>
      <c r="AN164" s="6"/>
      <c r="AO164" s="6"/>
      <c r="AP164" s="86"/>
      <c r="AQ164" s="86"/>
      <c r="AR164" s="86"/>
      <c r="AS164" s="86"/>
      <c r="AT164" s="86"/>
      <c r="AU164" s="86"/>
      <c r="AV164" s="86"/>
      <c r="AW164" s="86"/>
      <c r="AX164" s="86"/>
      <c r="AY164" s="86"/>
    </row>
    <row r="165" spans="7:51" s="8" customFormat="1" ht="12.75" x14ac:dyDescent="0.2">
      <c r="G165" s="1"/>
      <c r="H165" s="2"/>
      <c r="I165" s="1"/>
      <c r="J165" s="66"/>
      <c r="K165" s="67"/>
      <c r="L165" s="72"/>
      <c r="M165" s="67"/>
      <c r="N165" s="67"/>
      <c r="O165" s="67"/>
      <c r="P165" s="67"/>
      <c r="Q165" s="67"/>
      <c r="R165" s="67"/>
      <c r="S165" s="67"/>
      <c r="T165" s="67"/>
      <c r="U165" s="67"/>
      <c r="V165" s="4"/>
      <c r="W165" s="4"/>
      <c r="X165" s="4"/>
      <c r="Y165" s="5"/>
      <c r="Z165" s="5"/>
      <c r="AA165" s="80"/>
      <c r="AB165" s="80"/>
      <c r="AC165" s="80"/>
      <c r="AD165" s="80"/>
      <c r="AE165" s="80"/>
      <c r="AF165" s="80"/>
      <c r="AG165" s="80"/>
      <c r="AH165" s="80"/>
      <c r="AI165" s="6"/>
      <c r="AJ165" s="6"/>
      <c r="AK165" s="83"/>
      <c r="AL165" s="6"/>
      <c r="AM165" s="6"/>
      <c r="AN165" s="6"/>
      <c r="AO165" s="6"/>
      <c r="AP165" s="86"/>
      <c r="AQ165" s="86"/>
      <c r="AR165" s="86"/>
      <c r="AS165" s="86"/>
      <c r="AT165" s="86"/>
      <c r="AU165" s="86"/>
      <c r="AV165" s="86"/>
      <c r="AW165" s="86"/>
      <c r="AX165" s="86"/>
      <c r="AY165" s="86"/>
    </row>
    <row r="166" spans="7:51" s="8" customFormat="1" ht="12.75" x14ac:dyDescent="0.2">
      <c r="G166" s="1"/>
      <c r="H166" s="2"/>
      <c r="I166" s="1"/>
      <c r="J166" s="66"/>
      <c r="K166" s="67"/>
      <c r="L166" s="72"/>
      <c r="M166" s="67"/>
      <c r="N166" s="67"/>
      <c r="O166" s="67"/>
      <c r="P166" s="67"/>
      <c r="Q166" s="67"/>
      <c r="R166" s="67"/>
      <c r="S166" s="67"/>
      <c r="T166" s="67"/>
      <c r="U166" s="67"/>
      <c r="V166" s="4"/>
      <c r="W166" s="4"/>
      <c r="X166" s="4"/>
      <c r="Y166" s="5"/>
      <c r="Z166" s="5"/>
      <c r="AA166" s="80"/>
      <c r="AB166" s="80"/>
      <c r="AC166" s="80"/>
      <c r="AD166" s="80"/>
      <c r="AE166" s="80"/>
      <c r="AF166" s="80"/>
      <c r="AG166" s="80"/>
      <c r="AH166" s="80"/>
      <c r="AI166" s="6"/>
      <c r="AJ166" s="6"/>
      <c r="AK166" s="83"/>
      <c r="AL166" s="6"/>
      <c r="AM166" s="6"/>
      <c r="AN166" s="6"/>
      <c r="AO166" s="6"/>
      <c r="AP166" s="86"/>
      <c r="AQ166" s="86"/>
      <c r="AR166" s="86"/>
      <c r="AS166" s="86"/>
      <c r="AT166" s="86"/>
      <c r="AU166" s="86"/>
      <c r="AV166" s="86"/>
      <c r="AW166" s="86"/>
      <c r="AX166" s="86"/>
      <c r="AY166" s="86"/>
    </row>
    <row r="167" spans="7:51" s="8" customFormat="1" ht="12.75" x14ac:dyDescent="0.2">
      <c r="G167" s="1"/>
      <c r="H167" s="2"/>
      <c r="I167" s="1"/>
      <c r="J167" s="66"/>
      <c r="K167" s="67"/>
      <c r="L167" s="72"/>
      <c r="M167" s="67"/>
      <c r="N167" s="67"/>
      <c r="O167" s="67"/>
      <c r="P167" s="67"/>
      <c r="Q167" s="67"/>
      <c r="R167" s="67"/>
      <c r="S167" s="67"/>
      <c r="T167" s="67"/>
      <c r="U167" s="67"/>
      <c r="V167" s="4"/>
      <c r="W167" s="4"/>
      <c r="X167" s="4"/>
      <c r="Y167" s="5"/>
      <c r="Z167" s="5"/>
      <c r="AA167" s="80"/>
      <c r="AB167" s="80"/>
      <c r="AC167" s="80"/>
      <c r="AD167" s="80"/>
      <c r="AE167" s="80"/>
      <c r="AF167" s="80"/>
      <c r="AG167" s="80"/>
      <c r="AH167" s="80"/>
      <c r="AI167" s="6"/>
      <c r="AJ167" s="6"/>
      <c r="AK167" s="83"/>
      <c r="AL167" s="6"/>
      <c r="AM167" s="6"/>
      <c r="AN167" s="6"/>
      <c r="AO167" s="6"/>
      <c r="AP167" s="86"/>
      <c r="AQ167" s="86"/>
      <c r="AR167" s="86"/>
      <c r="AS167" s="86"/>
      <c r="AT167" s="86"/>
      <c r="AU167" s="86"/>
      <c r="AV167" s="86"/>
      <c r="AW167" s="86"/>
      <c r="AX167" s="86"/>
      <c r="AY167" s="86"/>
    </row>
    <row r="168" spans="7:51" s="8" customFormat="1" ht="12.75" x14ac:dyDescent="0.2">
      <c r="G168" s="1"/>
      <c r="H168" s="2"/>
      <c r="I168" s="1"/>
      <c r="J168" s="66"/>
      <c r="K168" s="67"/>
      <c r="L168" s="72"/>
      <c r="M168" s="67"/>
      <c r="N168" s="67"/>
      <c r="O168" s="67"/>
      <c r="P168" s="67"/>
      <c r="Q168" s="67"/>
      <c r="R168" s="67"/>
      <c r="S168" s="67"/>
      <c r="T168" s="67"/>
      <c r="U168" s="67"/>
      <c r="V168" s="4"/>
      <c r="W168" s="4"/>
      <c r="X168" s="4"/>
      <c r="Y168" s="5"/>
      <c r="Z168" s="5"/>
      <c r="AA168" s="80"/>
      <c r="AB168" s="80"/>
      <c r="AC168" s="80"/>
      <c r="AD168" s="80"/>
      <c r="AE168" s="80"/>
      <c r="AF168" s="80"/>
      <c r="AG168" s="80"/>
      <c r="AH168" s="80"/>
      <c r="AI168" s="6"/>
      <c r="AJ168" s="6"/>
      <c r="AK168" s="83"/>
      <c r="AL168" s="6"/>
      <c r="AM168" s="6"/>
      <c r="AN168" s="6"/>
      <c r="AO168" s="6"/>
      <c r="AP168" s="86"/>
      <c r="AQ168" s="86"/>
      <c r="AR168" s="86"/>
      <c r="AS168" s="86"/>
      <c r="AT168" s="86"/>
      <c r="AU168" s="86"/>
      <c r="AV168" s="86"/>
      <c r="AW168" s="86"/>
      <c r="AX168" s="86"/>
      <c r="AY168" s="86"/>
    </row>
    <row r="169" spans="7:51" s="8" customFormat="1" ht="12.75" x14ac:dyDescent="0.2">
      <c r="G169" s="1"/>
      <c r="H169" s="2"/>
      <c r="I169" s="1"/>
      <c r="J169" s="66"/>
      <c r="K169" s="67"/>
      <c r="L169" s="72"/>
      <c r="M169" s="67"/>
      <c r="N169" s="67"/>
      <c r="O169" s="67"/>
      <c r="P169" s="67"/>
      <c r="Q169" s="67"/>
      <c r="R169" s="67"/>
      <c r="S169" s="67"/>
      <c r="T169" s="67"/>
      <c r="U169" s="67"/>
      <c r="V169" s="4"/>
      <c r="W169" s="4"/>
      <c r="X169" s="4"/>
      <c r="Y169" s="5"/>
      <c r="Z169" s="5"/>
      <c r="AA169" s="80"/>
      <c r="AB169" s="80"/>
      <c r="AC169" s="80"/>
      <c r="AD169" s="80"/>
      <c r="AE169" s="80"/>
      <c r="AF169" s="80"/>
      <c r="AG169" s="80"/>
      <c r="AH169" s="80"/>
      <c r="AI169" s="6"/>
      <c r="AJ169" s="6"/>
      <c r="AK169" s="83"/>
      <c r="AL169" s="6"/>
      <c r="AM169" s="6"/>
      <c r="AN169" s="6"/>
      <c r="AO169" s="6"/>
      <c r="AP169" s="86"/>
      <c r="AQ169" s="86"/>
      <c r="AR169" s="86"/>
      <c r="AS169" s="86"/>
      <c r="AT169" s="86"/>
      <c r="AU169" s="86"/>
      <c r="AV169" s="86"/>
      <c r="AW169" s="86"/>
      <c r="AX169" s="86"/>
      <c r="AY169" s="86"/>
    </row>
    <row r="170" spans="7:51" s="8" customFormat="1" ht="12.75" x14ac:dyDescent="0.2">
      <c r="G170" s="1"/>
      <c r="H170" s="2"/>
      <c r="I170" s="1"/>
      <c r="J170" s="66"/>
      <c r="K170" s="67"/>
      <c r="L170" s="72"/>
      <c r="M170" s="67"/>
      <c r="N170" s="67"/>
      <c r="O170" s="67"/>
      <c r="P170" s="67"/>
      <c r="Q170" s="67"/>
      <c r="R170" s="67"/>
      <c r="S170" s="67"/>
      <c r="T170" s="67"/>
      <c r="U170" s="67"/>
      <c r="V170" s="4"/>
      <c r="W170" s="4"/>
      <c r="X170" s="4"/>
      <c r="Y170" s="5"/>
      <c r="Z170" s="5"/>
      <c r="AA170" s="80"/>
      <c r="AB170" s="80"/>
      <c r="AC170" s="80"/>
      <c r="AD170" s="80"/>
      <c r="AE170" s="80"/>
      <c r="AF170" s="80"/>
      <c r="AG170" s="80"/>
      <c r="AH170" s="80"/>
      <c r="AI170" s="6"/>
      <c r="AJ170" s="6"/>
      <c r="AK170" s="83"/>
      <c r="AL170" s="6"/>
      <c r="AM170" s="6"/>
      <c r="AN170" s="6"/>
      <c r="AO170" s="6"/>
      <c r="AP170" s="86"/>
      <c r="AQ170" s="86"/>
      <c r="AR170" s="86"/>
      <c r="AS170" s="86"/>
      <c r="AT170" s="86"/>
      <c r="AU170" s="86"/>
      <c r="AV170" s="86"/>
      <c r="AW170" s="86"/>
      <c r="AX170" s="86"/>
      <c r="AY170" s="86"/>
    </row>
    <row r="171" spans="7:51" s="8" customFormat="1" ht="12.75" x14ac:dyDescent="0.2">
      <c r="G171" s="1"/>
      <c r="H171" s="2"/>
      <c r="I171" s="1"/>
      <c r="J171" s="66"/>
      <c r="K171" s="67"/>
      <c r="L171" s="72"/>
      <c r="M171" s="67"/>
      <c r="N171" s="67"/>
      <c r="O171" s="67"/>
      <c r="P171" s="67"/>
      <c r="Q171" s="67"/>
      <c r="R171" s="67"/>
      <c r="S171" s="67"/>
      <c r="T171" s="67"/>
      <c r="U171" s="67"/>
      <c r="V171" s="4"/>
      <c r="W171" s="4"/>
      <c r="X171" s="4"/>
      <c r="Y171" s="5"/>
      <c r="Z171" s="5"/>
      <c r="AA171" s="80"/>
      <c r="AB171" s="80"/>
      <c r="AC171" s="80"/>
      <c r="AD171" s="80"/>
      <c r="AE171" s="80"/>
      <c r="AF171" s="80"/>
      <c r="AG171" s="80"/>
      <c r="AH171" s="80"/>
      <c r="AI171" s="6"/>
      <c r="AJ171" s="6"/>
      <c r="AK171" s="83"/>
      <c r="AL171" s="6"/>
      <c r="AM171" s="6"/>
      <c r="AN171" s="6"/>
      <c r="AO171" s="6"/>
      <c r="AP171" s="86"/>
      <c r="AQ171" s="86"/>
      <c r="AR171" s="86"/>
      <c r="AS171" s="86"/>
      <c r="AT171" s="86"/>
      <c r="AU171" s="86"/>
      <c r="AV171" s="86"/>
      <c r="AW171" s="86"/>
      <c r="AX171" s="86"/>
      <c r="AY171" s="86"/>
    </row>
    <row r="172" spans="7:51" s="8" customFormat="1" ht="12.75" x14ac:dyDescent="0.2">
      <c r="G172" s="1"/>
      <c r="H172" s="2"/>
      <c r="I172" s="1"/>
      <c r="J172" s="66"/>
      <c r="K172" s="67"/>
      <c r="L172" s="72"/>
      <c r="M172" s="67"/>
      <c r="N172" s="67"/>
      <c r="O172" s="67"/>
      <c r="P172" s="67"/>
      <c r="Q172" s="67"/>
      <c r="R172" s="67"/>
      <c r="S172" s="67"/>
      <c r="T172" s="67"/>
      <c r="U172" s="67"/>
      <c r="V172" s="4"/>
      <c r="W172" s="4"/>
      <c r="X172" s="4"/>
      <c r="Y172" s="5"/>
      <c r="Z172" s="5"/>
      <c r="AA172" s="80"/>
      <c r="AB172" s="80"/>
      <c r="AC172" s="80"/>
      <c r="AD172" s="80"/>
      <c r="AE172" s="80"/>
      <c r="AF172" s="80"/>
      <c r="AG172" s="80"/>
      <c r="AH172" s="80"/>
      <c r="AI172" s="6"/>
      <c r="AJ172" s="6"/>
      <c r="AK172" s="83"/>
      <c r="AL172" s="6"/>
      <c r="AM172" s="6"/>
      <c r="AN172" s="6"/>
      <c r="AO172" s="6"/>
      <c r="AP172" s="86"/>
      <c r="AQ172" s="86"/>
      <c r="AR172" s="86"/>
      <c r="AS172" s="86"/>
      <c r="AT172" s="86"/>
      <c r="AU172" s="86"/>
      <c r="AV172" s="86"/>
      <c r="AW172" s="86"/>
      <c r="AX172" s="86"/>
      <c r="AY172" s="86"/>
    </row>
    <row r="173" spans="7:51" s="8" customFormat="1" ht="12.75" x14ac:dyDescent="0.2">
      <c r="G173" s="1"/>
      <c r="H173" s="2"/>
      <c r="I173" s="1"/>
      <c r="J173" s="66"/>
      <c r="K173" s="67"/>
      <c r="L173" s="72"/>
      <c r="M173" s="67"/>
      <c r="N173" s="67"/>
      <c r="O173" s="67"/>
      <c r="P173" s="67"/>
      <c r="Q173" s="67"/>
      <c r="R173" s="67"/>
      <c r="S173" s="67"/>
      <c r="T173" s="67"/>
      <c r="U173" s="67"/>
      <c r="V173" s="4"/>
      <c r="W173" s="4"/>
      <c r="X173" s="4"/>
      <c r="Y173" s="5"/>
      <c r="Z173" s="5"/>
      <c r="AA173" s="80"/>
      <c r="AB173" s="80"/>
      <c r="AC173" s="80"/>
      <c r="AD173" s="80"/>
      <c r="AE173" s="80"/>
      <c r="AF173" s="80"/>
      <c r="AG173" s="80"/>
      <c r="AH173" s="80"/>
      <c r="AI173" s="6"/>
      <c r="AJ173" s="6"/>
      <c r="AK173" s="83"/>
      <c r="AL173" s="6"/>
      <c r="AM173" s="6"/>
      <c r="AN173" s="6"/>
      <c r="AO173" s="6"/>
      <c r="AP173" s="86"/>
      <c r="AQ173" s="86"/>
      <c r="AR173" s="86"/>
      <c r="AS173" s="86"/>
      <c r="AT173" s="86"/>
      <c r="AU173" s="86"/>
      <c r="AV173" s="86"/>
      <c r="AW173" s="86"/>
      <c r="AX173" s="86"/>
      <c r="AY173" s="86"/>
    </row>
    <row r="174" spans="7:51" s="8" customFormat="1" ht="12.75" x14ac:dyDescent="0.2">
      <c r="G174" s="1"/>
      <c r="H174" s="2"/>
      <c r="I174" s="1"/>
      <c r="J174" s="66"/>
      <c r="K174" s="67"/>
      <c r="L174" s="72"/>
      <c r="M174" s="67"/>
      <c r="N174" s="67"/>
      <c r="O174" s="67"/>
      <c r="P174" s="67"/>
      <c r="Q174" s="67"/>
      <c r="R174" s="67"/>
      <c r="S174" s="67"/>
      <c r="T174" s="67"/>
      <c r="U174" s="67"/>
      <c r="V174" s="4"/>
      <c r="W174" s="4"/>
      <c r="X174" s="4"/>
      <c r="Y174" s="5"/>
      <c r="Z174" s="5"/>
      <c r="AA174" s="80"/>
      <c r="AB174" s="80"/>
      <c r="AC174" s="80"/>
      <c r="AD174" s="80"/>
      <c r="AE174" s="80"/>
      <c r="AF174" s="80"/>
      <c r="AG174" s="80"/>
      <c r="AH174" s="80"/>
      <c r="AI174" s="6"/>
      <c r="AJ174" s="6"/>
      <c r="AK174" s="83"/>
      <c r="AL174" s="6"/>
      <c r="AM174" s="6"/>
      <c r="AN174" s="6"/>
      <c r="AO174" s="6"/>
      <c r="AP174" s="86"/>
      <c r="AQ174" s="86"/>
      <c r="AR174" s="86"/>
      <c r="AS174" s="86"/>
      <c r="AT174" s="86"/>
      <c r="AU174" s="86"/>
      <c r="AV174" s="86"/>
      <c r="AW174" s="86"/>
      <c r="AX174" s="86"/>
      <c r="AY174" s="86"/>
    </row>
    <row r="175" spans="7:51" s="8" customFormat="1" ht="12.75" x14ac:dyDescent="0.2">
      <c r="G175" s="1"/>
      <c r="H175" s="2"/>
      <c r="I175" s="1"/>
      <c r="J175" s="66"/>
      <c r="K175" s="67"/>
      <c r="L175" s="72"/>
      <c r="M175" s="67"/>
      <c r="N175" s="67"/>
      <c r="O175" s="67"/>
      <c r="P175" s="67"/>
      <c r="Q175" s="67"/>
      <c r="R175" s="67"/>
      <c r="S175" s="67"/>
      <c r="T175" s="67"/>
      <c r="U175" s="67"/>
      <c r="V175" s="4"/>
      <c r="W175" s="4"/>
      <c r="X175" s="4"/>
      <c r="Y175" s="5"/>
      <c r="Z175" s="5"/>
      <c r="AA175" s="80"/>
      <c r="AB175" s="80"/>
      <c r="AC175" s="80"/>
      <c r="AD175" s="80"/>
      <c r="AE175" s="80"/>
      <c r="AF175" s="80"/>
      <c r="AG175" s="80"/>
      <c r="AH175" s="80"/>
      <c r="AI175" s="6"/>
      <c r="AJ175" s="6"/>
      <c r="AK175" s="83"/>
      <c r="AL175" s="6"/>
      <c r="AM175" s="6"/>
      <c r="AN175" s="6"/>
      <c r="AO175" s="6"/>
      <c r="AP175" s="86"/>
      <c r="AQ175" s="86"/>
      <c r="AR175" s="86"/>
      <c r="AS175" s="86"/>
      <c r="AT175" s="86"/>
      <c r="AU175" s="86"/>
      <c r="AV175" s="86"/>
      <c r="AW175" s="86"/>
      <c r="AX175" s="86"/>
      <c r="AY175" s="86"/>
    </row>
    <row r="176" spans="7:51" s="8" customFormat="1" ht="12.75" x14ac:dyDescent="0.2">
      <c r="G176" s="1"/>
      <c r="H176" s="2"/>
      <c r="I176" s="1"/>
      <c r="J176" s="66"/>
      <c r="K176" s="67"/>
      <c r="L176" s="72"/>
      <c r="M176" s="67"/>
      <c r="N176" s="67"/>
      <c r="O176" s="67"/>
      <c r="P176" s="67"/>
      <c r="Q176" s="67"/>
      <c r="R176" s="67"/>
      <c r="S176" s="67"/>
      <c r="T176" s="67"/>
      <c r="U176" s="67"/>
      <c r="V176" s="4"/>
      <c r="W176" s="4"/>
      <c r="X176" s="4"/>
      <c r="Y176" s="5"/>
      <c r="Z176" s="5"/>
      <c r="AA176" s="80"/>
      <c r="AB176" s="80"/>
      <c r="AC176" s="80"/>
      <c r="AD176" s="80"/>
      <c r="AE176" s="80"/>
      <c r="AF176" s="80"/>
      <c r="AG176" s="80"/>
      <c r="AH176" s="80"/>
      <c r="AI176" s="6"/>
      <c r="AJ176" s="6"/>
      <c r="AK176" s="83"/>
      <c r="AL176" s="6"/>
      <c r="AM176" s="6"/>
      <c r="AN176" s="6"/>
      <c r="AO176" s="6"/>
      <c r="AP176" s="86"/>
      <c r="AQ176" s="86"/>
      <c r="AR176" s="86"/>
      <c r="AS176" s="86"/>
      <c r="AT176" s="86"/>
      <c r="AU176" s="86"/>
      <c r="AV176" s="86"/>
      <c r="AW176" s="86"/>
      <c r="AX176" s="86"/>
      <c r="AY176" s="86"/>
    </row>
    <row r="177" spans="7:51" s="8" customFormat="1" ht="12.75" x14ac:dyDescent="0.2">
      <c r="G177" s="1"/>
      <c r="H177" s="2"/>
      <c r="I177" s="1"/>
      <c r="J177" s="66"/>
      <c r="K177" s="67"/>
      <c r="L177" s="72"/>
      <c r="M177" s="67"/>
      <c r="N177" s="67"/>
      <c r="O177" s="67"/>
      <c r="P177" s="67"/>
      <c r="Q177" s="67"/>
      <c r="R177" s="67"/>
      <c r="S177" s="67"/>
      <c r="T177" s="67"/>
      <c r="U177" s="67"/>
      <c r="V177" s="4"/>
      <c r="W177" s="4"/>
      <c r="X177" s="4"/>
      <c r="Y177" s="5"/>
      <c r="Z177" s="5"/>
      <c r="AA177" s="80"/>
      <c r="AB177" s="80"/>
      <c r="AC177" s="80"/>
      <c r="AD177" s="80"/>
      <c r="AE177" s="80"/>
      <c r="AF177" s="80"/>
      <c r="AG177" s="80"/>
      <c r="AH177" s="80"/>
      <c r="AI177" s="6"/>
      <c r="AJ177" s="6"/>
      <c r="AK177" s="83"/>
      <c r="AL177" s="6"/>
      <c r="AM177" s="6"/>
      <c r="AN177" s="6"/>
      <c r="AO177" s="6"/>
      <c r="AP177" s="86"/>
      <c r="AQ177" s="86"/>
      <c r="AR177" s="86"/>
      <c r="AS177" s="86"/>
      <c r="AT177" s="86"/>
      <c r="AU177" s="86"/>
      <c r="AV177" s="86"/>
      <c r="AW177" s="86"/>
      <c r="AX177" s="86"/>
      <c r="AY177" s="86"/>
    </row>
    <row r="178" spans="7:51" s="8" customFormat="1" ht="12.75" x14ac:dyDescent="0.2">
      <c r="G178" s="1"/>
      <c r="H178" s="2"/>
      <c r="I178" s="1"/>
      <c r="J178" s="66"/>
      <c r="K178" s="67"/>
      <c r="L178" s="72"/>
      <c r="M178" s="67"/>
      <c r="N178" s="67"/>
      <c r="O178" s="67"/>
      <c r="P178" s="67"/>
      <c r="Q178" s="67"/>
      <c r="R178" s="67"/>
      <c r="S178" s="67"/>
      <c r="T178" s="67"/>
      <c r="U178" s="67"/>
      <c r="V178" s="4"/>
      <c r="W178" s="4"/>
      <c r="X178" s="4"/>
      <c r="Y178" s="5"/>
      <c r="Z178" s="5"/>
      <c r="AA178" s="80"/>
      <c r="AB178" s="80"/>
      <c r="AC178" s="80"/>
      <c r="AD178" s="80"/>
      <c r="AE178" s="80"/>
      <c r="AF178" s="80"/>
      <c r="AG178" s="80"/>
      <c r="AH178" s="80"/>
      <c r="AI178" s="6"/>
      <c r="AJ178" s="6"/>
      <c r="AK178" s="83"/>
      <c r="AL178" s="6"/>
      <c r="AM178" s="6"/>
      <c r="AN178" s="6"/>
      <c r="AO178" s="6"/>
      <c r="AP178" s="86"/>
      <c r="AQ178" s="86"/>
      <c r="AR178" s="86"/>
      <c r="AS178" s="86"/>
      <c r="AT178" s="86"/>
      <c r="AU178" s="86"/>
      <c r="AV178" s="86"/>
      <c r="AW178" s="86"/>
      <c r="AX178" s="86"/>
      <c r="AY178" s="86"/>
    </row>
    <row r="179" spans="7:51" s="8" customFormat="1" ht="12.75" x14ac:dyDescent="0.2">
      <c r="G179" s="1"/>
      <c r="H179" s="2"/>
      <c r="I179" s="1"/>
      <c r="J179" s="66"/>
      <c r="K179" s="67"/>
      <c r="L179" s="72"/>
      <c r="M179" s="67"/>
      <c r="N179" s="67"/>
      <c r="O179" s="67"/>
      <c r="P179" s="67"/>
      <c r="Q179" s="67"/>
      <c r="R179" s="67"/>
      <c r="S179" s="67"/>
      <c r="T179" s="67"/>
      <c r="U179" s="67"/>
      <c r="V179" s="4"/>
      <c r="W179" s="4"/>
      <c r="X179" s="4"/>
      <c r="Y179" s="5"/>
      <c r="Z179" s="5"/>
      <c r="AA179" s="80"/>
      <c r="AB179" s="80"/>
      <c r="AC179" s="80"/>
      <c r="AD179" s="80"/>
      <c r="AE179" s="80"/>
      <c r="AF179" s="80"/>
      <c r="AG179" s="80"/>
      <c r="AH179" s="80"/>
      <c r="AI179" s="6"/>
      <c r="AJ179" s="6"/>
      <c r="AK179" s="83"/>
      <c r="AL179" s="6"/>
      <c r="AM179" s="6"/>
      <c r="AN179" s="6"/>
      <c r="AO179" s="6"/>
      <c r="AP179" s="86"/>
      <c r="AQ179" s="86"/>
      <c r="AR179" s="86"/>
      <c r="AS179" s="86"/>
      <c r="AT179" s="86"/>
      <c r="AU179" s="86"/>
      <c r="AV179" s="86"/>
      <c r="AW179" s="86"/>
      <c r="AX179" s="86"/>
      <c r="AY179" s="86"/>
    </row>
    <row r="180" spans="7:51" s="8" customFormat="1" ht="12.75" x14ac:dyDescent="0.2">
      <c r="G180" s="1"/>
      <c r="H180" s="2"/>
      <c r="I180" s="1"/>
      <c r="J180" s="66"/>
      <c r="K180" s="67"/>
      <c r="L180" s="72"/>
      <c r="M180" s="67"/>
      <c r="N180" s="67"/>
      <c r="O180" s="67"/>
      <c r="P180" s="67"/>
      <c r="Q180" s="67"/>
      <c r="R180" s="67"/>
      <c r="S180" s="67"/>
      <c r="T180" s="67"/>
      <c r="U180" s="67"/>
      <c r="V180" s="4"/>
      <c r="W180" s="4"/>
      <c r="X180" s="4"/>
      <c r="Y180" s="5"/>
      <c r="Z180" s="5"/>
      <c r="AA180" s="80"/>
      <c r="AB180" s="80"/>
      <c r="AC180" s="80"/>
      <c r="AD180" s="80"/>
      <c r="AE180" s="80"/>
      <c r="AF180" s="80"/>
      <c r="AG180" s="80"/>
      <c r="AH180" s="80"/>
      <c r="AI180" s="6"/>
      <c r="AJ180" s="6"/>
      <c r="AK180" s="83"/>
      <c r="AL180" s="6"/>
      <c r="AM180" s="6"/>
      <c r="AN180" s="6"/>
      <c r="AO180" s="6"/>
      <c r="AP180" s="86"/>
      <c r="AQ180" s="86"/>
      <c r="AR180" s="86"/>
      <c r="AS180" s="86"/>
      <c r="AT180" s="86"/>
      <c r="AU180" s="86"/>
      <c r="AV180" s="86"/>
      <c r="AW180" s="86"/>
      <c r="AX180" s="86"/>
      <c r="AY180" s="86"/>
    </row>
    <row r="181" spans="7:51" s="8" customFormat="1" ht="12.75" x14ac:dyDescent="0.2">
      <c r="G181" s="1"/>
      <c r="H181" s="2"/>
      <c r="I181" s="1"/>
      <c r="J181" s="66"/>
      <c r="K181" s="67"/>
      <c r="L181" s="72"/>
      <c r="M181" s="67"/>
      <c r="N181" s="67"/>
      <c r="O181" s="67"/>
      <c r="P181" s="67"/>
      <c r="Q181" s="67"/>
      <c r="R181" s="67"/>
      <c r="S181" s="67"/>
      <c r="T181" s="67"/>
      <c r="U181" s="67"/>
      <c r="V181" s="4"/>
      <c r="W181" s="4"/>
      <c r="X181" s="4"/>
      <c r="Y181" s="5"/>
      <c r="Z181" s="5"/>
      <c r="AA181" s="80"/>
      <c r="AB181" s="80"/>
      <c r="AC181" s="80"/>
      <c r="AD181" s="80"/>
      <c r="AE181" s="80"/>
      <c r="AF181" s="80"/>
      <c r="AG181" s="80"/>
      <c r="AH181" s="80"/>
      <c r="AI181" s="6"/>
      <c r="AJ181" s="6"/>
      <c r="AK181" s="83"/>
      <c r="AL181" s="6"/>
      <c r="AM181" s="6"/>
      <c r="AN181" s="6"/>
      <c r="AO181" s="6"/>
      <c r="AP181" s="86"/>
      <c r="AQ181" s="86"/>
      <c r="AR181" s="86"/>
      <c r="AS181" s="86"/>
      <c r="AT181" s="86"/>
      <c r="AU181" s="86"/>
      <c r="AV181" s="86"/>
      <c r="AW181" s="86"/>
      <c r="AX181" s="86"/>
      <c r="AY181" s="86"/>
    </row>
    <row r="182" spans="7:51" s="8" customFormat="1" ht="12.75" x14ac:dyDescent="0.2">
      <c r="G182" s="1"/>
      <c r="H182" s="2"/>
      <c r="I182" s="1"/>
      <c r="J182" s="66"/>
      <c r="K182" s="67"/>
      <c r="L182" s="72"/>
      <c r="M182" s="67"/>
      <c r="N182" s="67"/>
      <c r="O182" s="67"/>
      <c r="P182" s="67"/>
      <c r="Q182" s="67"/>
      <c r="R182" s="67"/>
      <c r="S182" s="67"/>
      <c r="T182" s="67"/>
      <c r="U182" s="67"/>
      <c r="V182" s="4"/>
      <c r="W182" s="4"/>
      <c r="X182" s="4"/>
      <c r="Y182" s="5"/>
      <c r="Z182" s="5"/>
      <c r="AA182" s="80"/>
      <c r="AB182" s="80"/>
      <c r="AC182" s="80"/>
      <c r="AD182" s="80"/>
      <c r="AE182" s="80"/>
      <c r="AF182" s="80"/>
      <c r="AG182" s="80"/>
      <c r="AH182" s="80"/>
      <c r="AI182" s="6"/>
      <c r="AJ182" s="6"/>
      <c r="AK182" s="83"/>
      <c r="AL182" s="6"/>
      <c r="AM182" s="6"/>
      <c r="AN182" s="6"/>
      <c r="AO182" s="6"/>
      <c r="AP182" s="86"/>
      <c r="AQ182" s="86"/>
      <c r="AR182" s="86"/>
      <c r="AS182" s="86"/>
      <c r="AT182" s="86"/>
      <c r="AU182" s="86"/>
      <c r="AV182" s="86"/>
      <c r="AW182" s="86"/>
      <c r="AX182" s="86"/>
      <c r="AY182" s="86"/>
    </row>
    <row r="183" spans="7:51" s="8" customFormat="1" ht="12.75" x14ac:dyDescent="0.2">
      <c r="G183" s="1"/>
      <c r="H183" s="2"/>
      <c r="I183" s="1"/>
      <c r="J183" s="66"/>
      <c r="K183" s="67"/>
      <c r="L183" s="72"/>
      <c r="M183" s="67"/>
      <c r="N183" s="67"/>
      <c r="O183" s="67"/>
      <c r="P183" s="67"/>
      <c r="Q183" s="67"/>
      <c r="R183" s="67"/>
      <c r="S183" s="67"/>
      <c r="T183" s="67"/>
      <c r="U183" s="67"/>
      <c r="V183" s="4"/>
      <c r="W183" s="4"/>
      <c r="X183" s="4"/>
      <c r="Y183" s="5"/>
      <c r="Z183" s="5"/>
      <c r="AA183" s="80"/>
      <c r="AB183" s="80"/>
      <c r="AC183" s="80"/>
      <c r="AD183" s="80"/>
      <c r="AE183" s="80"/>
      <c r="AF183" s="80"/>
      <c r="AG183" s="80"/>
      <c r="AH183" s="80"/>
      <c r="AI183" s="6"/>
      <c r="AJ183" s="6"/>
      <c r="AK183" s="83"/>
      <c r="AL183" s="6"/>
      <c r="AM183" s="6"/>
      <c r="AN183" s="6"/>
      <c r="AO183" s="6"/>
      <c r="AP183" s="86"/>
      <c r="AQ183" s="86"/>
      <c r="AR183" s="86"/>
      <c r="AS183" s="86"/>
      <c r="AT183" s="86"/>
      <c r="AU183" s="86"/>
      <c r="AV183" s="86"/>
      <c r="AW183" s="86"/>
      <c r="AX183" s="86"/>
      <c r="AY183" s="86"/>
    </row>
    <row r="184" spans="7:51" s="8" customFormat="1" ht="12.75" x14ac:dyDescent="0.2">
      <c r="G184" s="1"/>
      <c r="H184" s="2"/>
      <c r="I184" s="1"/>
      <c r="J184" s="66"/>
      <c r="K184" s="67"/>
      <c r="L184" s="72"/>
      <c r="M184" s="67"/>
      <c r="N184" s="67"/>
      <c r="O184" s="67"/>
      <c r="P184" s="67"/>
      <c r="Q184" s="67"/>
      <c r="R184" s="67"/>
      <c r="S184" s="67"/>
      <c r="T184" s="67"/>
      <c r="U184" s="67"/>
      <c r="V184" s="4"/>
      <c r="W184" s="4"/>
      <c r="X184" s="4"/>
      <c r="Y184" s="5"/>
      <c r="Z184" s="5"/>
      <c r="AA184" s="80"/>
      <c r="AB184" s="80"/>
      <c r="AC184" s="80"/>
      <c r="AD184" s="80"/>
      <c r="AE184" s="80"/>
      <c r="AF184" s="80"/>
      <c r="AG184" s="80"/>
      <c r="AH184" s="80"/>
      <c r="AI184" s="6"/>
      <c r="AJ184" s="6"/>
      <c r="AK184" s="83"/>
      <c r="AL184" s="6"/>
      <c r="AM184" s="6"/>
      <c r="AN184" s="6"/>
      <c r="AO184" s="6"/>
      <c r="AP184" s="86"/>
      <c r="AQ184" s="86"/>
      <c r="AR184" s="86"/>
      <c r="AS184" s="86"/>
      <c r="AT184" s="86"/>
      <c r="AU184" s="86"/>
      <c r="AV184" s="86"/>
      <c r="AW184" s="86"/>
      <c r="AX184" s="86"/>
      <c r="AY184" s="86"/>
    </row>
    <row r="185" spans="7:51" s="8" customFormat="1" ht="12.75" x14ac:dyDescent="0.2">
      <c r="G185" s="1"/>
      <c r="H185" s="2"/>
      <c r="I185" s="1"/>
      <c r="J185" s="66"/>
      <c r="K185" s="67"/>
      <c r="L185" s="72"/>
      <c r="M185" s="67"/>
      <c r="N185" s="67"/>
      <c r="O185" s="67"/>
      <c r="P185" s="67"/>
      <c r="Q185" s="67"/>
      <c r="R185" s="67"/>
      <c r="S185" s="67"/>
      <c r="T185" s="67"/>
      <c r="U185" s="67"/>
      <c r="V185" s="4"/>
      <c r="W185" s="4"/>
      <c r="X185" s="4"/>
      <c r="Y185" s="5"/>
      <c r="Z185" s="5"/>
      <c r="AA185" s="80"/>
      <c r="AB185" s="80"/>
      <c r="AC185" s="80"/>
      <c r="AD185" s="80"/>
      <c r="AE185" s="80"/>
      <c r="AF185" s="80"/>
      <c r="AG185" s="80"/>
      <c r="AH185" s="80"/>
      <c r="AI185" s="6"/>
      <c r="AJ185" s="6"/>
      <c r="AK185" s="83"/>
      <c r="AL185" s="6"/>
      <c r="AM185" s="6"/>
      <c r="AN185" s="6"/>
      <c r="AO185" s="6"/>
      <c r="AP185" s="86"/>
      <c r="AQ185" s="86"/>
      <c r="AR185" s="86"/>
      <c r="AS185" s="86"/>
      <c r="AT185" s="86"/>
      <c r="AU185" s="86"/>
      <c r="AV185" s="86"/>
      <c r="AW185" s="86"/>
      <c r="AX185" s="86"/>
      <c r="AY185" s="86"/>
    </row>
    <row r="186" spans="7:51" s="8" customFormat="1" ht="12.75" x14ac:dyDescent="0.2">
      <c r="G186" s="1"/>
      <c r="H186" s="2"/>
      <c r="I186" s="1"/>
      <c r="J186" s="66"/>
      <c r="K186" s="67"/>
      <c r="L186" s="72"/>
      <c r="M186" s="67"/>
      <c r="N186" s="67"/>
      <c r="O186" s="67"/>
      <c r="P186" s="67"/>
      <c r="Q186" s="67"/>
      <c r="R186" s="67"/>
      <c r="S186" s="67"/>
      <c r="T186" s="67"/>
      <c r="U186" s="67"/>
      <c r="V186" s="4"/>
      <c r="W186" s="4"/>
      <c r="X186" s="4"/>
      <c r="Y186" s="5"/>
      <c r="Z186" s="5"/>
      <c r="AA186" s="80"/>
      <c r="AB186" s="80"/>
      <c r="AC186" s="80"/>
      <c r="AD186" s="80"/>
      <c r="AE186" s="80"/>
      <c r="AF186" s="80"/>
      <c r="AG186" s="80"/>
      <c r="AH186" s="80"/>
      <c r="AI186" s="6"/>
      <c r="AJ186" s="6"/>
      <c r="AK186" s="83"/>
      <c r="AL186" s="6"/>
      <c r="AM186" s="6"/>
      <c r="AN186" s="6"/>
      <c r="AO186" s="6"/>
      <c r="AP186" s="86"/>
      <c r="AQ186" s="86"/>
      <c r="AR186" s="86"/>
      <c r="AS186" s="86"/>
      <c r="AT186" s="86"/>
      <c r="AU186" s="86"/>
      <c r="AV186" s="86"/>
      <c r="AW186" s="86"/>
      <c r="AX186" s="86"/>
      <c r="AY186" s="86"/>
    </row>
    <row r="187" spans="7:51" s="8" customFormat="1" ht="12.75" x14ac:dyDescent="0.2">
      <c r="G187" s="1"/>
      <c r="H187" s="2"/>
      <c r="I187" s="1"/>
      <c r="J187" s="66"/>
      <c r="K187" s="67"/>
      <c r="L187" s="72"/>
      <c r="M187" s="67"/>
      <c r="N187" s="67"/>
      <c r="O187" s="67"/>
      <c r="P187" s="67"/>
      <c r="Q187" s="67"/>
      <c r="R187" s="67"/>
      <c r="S187" s="67"/>
      <c r="T187" s="67"/>
      <c r="U187" s="67"/>
      <c r="V187" s="4"/>
      <c r="W187" s="4"/>
      <c r="X187" s="4"/>
      <c r="Y187" s="5"/>
      <c r="Z187" s="5"/>
      <c r="AA187" s="80"/>
      <c r="AB187" s="80"/>
      <c r="AC187" s="80"/>
      <c r="AD187" s="80"/>
      <c r="AE187" s="80"/>
      <c r="AF187" s="80"/>
      <c r="AG187" s="80"/>
      <c r="AH187" s="80"/>
      <c r="AI187" s="6"/>
      <c r="AJ187" s="6"/>
      <c r="AK187" s="83"/>
      <c r="AL187" s="6"/>
      <c r="AM187" s="6"/>
      <c r="AN187" s="6"/>
      <c r="AO187" s="6"/>
      <c r="AP187" s="86"/>
      <c r="AQ187" s="86"/>
      <c r="AR187" s="86"/>
      <c r="AS187" s="86"/>
      <c r="AT187" s="86"/>
      <c r="AU187" s="86"/>
      <c r="AV187" s="86"/>
      <c r="AW187" s="86"/>
      <c r="AX187" s="86"/>
      <c r="AY187" s="86"/>
    </row>
    <row r="188" spans="7:51" s="8" customFormat="1" ht="12.75" x14ac:dyDescent="0.2">
      <c r="G188" s="1"/>
      <c r="H188" s="2"/>
      <c r="I188" s="1"/>
      <c r="J188" s="66"/>
      <c r="K188" s="67"/>
      <c r="L188" s="72"/>
      <c r="M188" s="67"/>
      <c r="N188" s="67"/>
      <c r="O188" s="67"/>
      <c r="P188" s="67"/>
      <c r="Q188" s="67"/>
      <c r="R188" s="67"/>
      <c r="S188" s="67"/>
      <c r="T188" s="67"/>
      <c r="U188" s="67"/>
      <c r="V188" s="4"/>
      <c r="W188" s="4"/>
      <c r="X188" s="4"/>
      <c r="Y188" s="5"/>
      <c r="Z188" s="5"/>
      <c r="AA188" s="80"/>
      <c r="AB188" s="80"/>
      <c r="AC188" s="80"/>
      <c r="AD188" s="80"/>
      <c r="AE188" s="80"/>
      <c r="AF188" s="80"/>
      <c r="AG188" s="80"/>
      <c r="AH188" s="80"/>
      <c r="AI188" s="6"/>
      <c r="AJ188" s="6"/>
      <c r="AK188" s="83"/>
      <c r="AL188" s="6"/>
      <c r="AM188" s="6"/>
      <c r="AN188" s="6"/>
      <c r="AO188" s="6"/>
      <c r="AP188" s="86"/>
      <c r="AQ188" s="86"/>
      <c r="AR188" s="86"/>
      <c r="AS188" s="86"/>
      <c r="AT188" s="86"/>
      <c r="AU188" s="86"/>
      <c r="AV188" s="86"/>
      <c r="AW188" s="86"/>
      <c r="AX188" s="86"/>
      <c r="AY188" s="86"/>
    </row>
    <row r="189" spans="7:51" s="8" customFormat="1" x14ac:dyDescent="0.25"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 s="82"/>
      <c r="AB189" s="82"/>
      <c r="AC189" s="82"/>
      <c r="AD189" s="82"/>
      <c r="AE189" s="82"/>
      <c r="AF189" s="82"/>
      <c r="AG189" s="82"/>
      <c r="AH189" s="82"/>
      <c r="AI189" s="84"/>
      <c r="AJ189" s="84"/>
      <c r="AK189" s="84"/>
      <c r="AL189" s="84"/>
      <c r="AM189" s="84"/>
      <c r="AN189" s="84"/>
      <c r="AO189" s="84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</row>
    <row r="190" spans="7:51" s="8" customFormat="1" x14ac:dyDescent="0.25"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 s="82"/>
      <c r="AB190" s="82"/>
      <c r="AC190" s="82"/>
      <c r="AD190" s="82"/>
      <c r="AE190" s="82"/>
      <c r="AF190" s="82"/>
      <c r="AG190" s="82"/>
      <c r="AH190" s="82"/>
      <c r="AI190" s="84"/>
      <c r="AJ190" s="84"/>
      <c r="AK190" s="84"/>
      <c r="AL190" s="84"/>
      <c r="AM190" s="84"/>
      <c r="AN190" s="84"/>
      <c r="AO190" s="84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</row>
    <row r="191" spans="7:51" s="8" customFormat="1" x14ac:dyDescent="0.25"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 s="82"/>
      <c r="AB191" s="82"/>
      <c r="AC191" s="82"/>
      <c r="AD191" s="82"/>
      <c r="AE191" s="82"/>
      <c r="AF191" s="82"/>
      <c r="AG191" s="82"/>
      <c r="AH191" s="82"/>
      <c r="AI191" s="84"/>
      <c r="AJ191" s="84"/>
      <c r="AK191" s="84"/>
      <c r="AL191" s="84"/>
      <c r="AM191" s="84"/>
      <c r="AN191" s="84"/>
      <c r="AO191" s="84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</row>
    <row r="192" spans="7:51" s="8" customFormat="1" x14ac:dyDescent="0.25"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 s="82"/>
      <c r="AB192" s="82"/>
      <c r="AC192" s="82"/>
      <c r="AD192" s="82"/>
      <c r="AE192" s="82"/>
      <c r="AF192" s="82"/>
      <c r="AG192" s="82"/>
      <c r="AH192" s="82"/>
      <c r="AI192" s="84"/>
      <c r="AJ192" s="84"/>
      <c r="AK192" s="84"/>
      <c r="AL192" s="84"/>
      <c r="AM192" s="84"/>
      <c r="AN192" s="84"/>
      <c r="AO192" s="84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</row>
    <row r="193" spans="7:51" s="8" customFormat="1" x14ac:dyDescent="0.25"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 s="82"/>
      <c r="AB193" s="82"/>
      <c r="AC193" s="82"/>
      <c r="AD193" s="82"/>
      <c r="AE193" s="82"/>
      <c r="AF193" s="82"/>
      <c r="AG193" s="82"/>
      <c r="AH193" s="82"/>
      <c r="AI193" s="84"/>
      <c r="AJ193" s="84"/>
      <c r="AK193" s="84"/>
      <c r="AL193" s="84"/>
      <c r="AM193" s="84"/>
      <c r="AN193" s="84"/>
      <c r="AO193" s="84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</row>
    <row r="194" spans="7:51" s="8" customFormat="1" x14ac:dyDescent="0.25"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 s="82"/>
      <c r="AB194" s="82"/>
      <c r="AC194" s="82"/>
      <c r="AD194" s="82"/>
      <c r="AE194" s="82"/>
      <c r="AF194" s="82"/>
      <c r="AG194" s="82"/>
      <c r="AH194" s="82"/>
      <c r="AI194" s="84"/>
      <c r="AJ194" s="84"/>
      <c r="AK194" s="84"/>
      <c r="AL194" s="84"/>
      <c r="AM194" s="84"/>
      <c r="AN194" s="84"/>
      <c r="AO194" s="84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</row>
    <row r="195" spans="7:51" s="8" customFormat="1" x14ac:dyDescent="0.25"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 s="82"/>
      <c r="AB195" s="82"/>
      <c r="AC195" s="82"/>
      <c r="AD195" s="82"/>
      <c r="AE195" s="82"/>
      <c r="AF195" s="82"/>
      <c r="AG195" s="82"/>
      <c r="AH195" s="82"/>
      <c r="AI195" s="84"/>
      <c r="AJ195" s="84"/>
      <c r="AK195" s="84"/>
      <c r="AL195" s="84"/>
      <c r="AM195" s="84"/>
      <c r="AN195" s="84"/>
      <c r="AO195" s="84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</row>
    <row r="196" spans="7:51" s="8" customFormat="1" x14ac:dyDescent="0.25"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 s="82"/>
      <c r="AB196" s="82"/>
      <c r="AC196" s="82"/>
      <c r="AD196" s="82"/>
      <c r="AE196" s="82"/>
      <c r="AF196" s="82"/>
      <c r="AG196" s="82"/>
      <c r="AH196" s="82"/>
      <c r="AI196" s="84"/>
      <c r="AJ196" s="84"/>
      <c r="AK196" s="84"/>
      <c r="AL196" s="84"/>
      <c r="AM196" s="84"/>
      <c r="AN196" s="84"/>
      <c r="AO196" s="84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</row>
    <row r="197" spans="7:51" s="8" customFormat="1" x14ac:dyDescent="0.25"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 s="82"/>
      <c r="AB197" s="82"/>
      <c r="AC197" s="82"/>
      <c r="AD197" s="82"/>
      <c r="AE197" s="82"/>
      <c r="AF197" s="82"/>
      <c r="AG197" s="82"/>
      <c r="AH197" s="82"/>
      <c r="AI197" s="84"/>
      <c r="AJ197" s="84"/>
      <c r="AK197" s="84"/>
      <c r="AL197" s="84"/>
      <c r="AM197" s="84"/>
      <c r="AN197" s="84"/>
      <c r="AO197" s="84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</row>
    <row r="198" spans="7:51" s="8" customFormat="1" x14ac:dyDescent="0.25"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 s="82"/>
      <c r="AB198" s="82"/>
      <c r="AC198" s="82"/>
      <c r="AD198" s="82"/>
      <c r="AE198" s="82"/>
      <c r="AF198" s="82"/>
      <c r="AG198" s="82"/>
      <c r="AH198" s="82"/>
      <c r="AI198" s="84"/>
      <c r="AJ198" s="84"/>
      <c r="AK198" s="84"/>
      <c r="AL198" s="84"/>
      <c r="AM198" s="84"/>
      <c r="AN198" s="84"/>
      <c r="AO198" s="84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</row>
    <row r="199" spans="7:51" s="8" customFormat="1" x14ac:dyDescent="0.25"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 s="82"/>
      <c r="AB199" s="82"/>
      <c r="AC199" s="82"/>
      <c r="AD199" s="82"/>
      <c r="AE199" s="82"/>
      <c r="AF199" s="82"/>
      <c r="AG199" s="82"/>
      <c r="AH199" s="82"/>
      <c r="AI199" s="84"/>
      <c r="AJ199" s="84"/>
      <c r="AK199" s="84"/>
      <c r="AL199" s="84"/>
      <c r="AM199" s="84"/>
      <c r="AN199" s="84"/>
      <c r="AO199" s="84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</row>
    <row r="200" spans="7:51" s="8" customFormat="1" x14ac:dyDescent="0.25"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 s="82"/>
      <c r="AB200" s="82"/>
      <c r="AC200" s="82"/>
      <c r="AD200" s="82"/>
      <c r="AE200" s="82"/>
      <c r="AF200" s="82"/>
      <c r="AG200" s="82"/>
      <c r="AH200" s="82"/>
      <c r="AI200" s="84"/>
      <c r="AJ200" s="84"/>
      <c r="AK200" s="84"/>
      <c r="AL200" s="84"/>
      <c r="AM200" s="84"/>
      <c r="AN200" s="84"/>
      <c r="AO200" s="84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</row>
    <row r="201" spans="7:51" s="8" customFormat="1" x14ac:dyDescent="0.25"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 s="82"/>
      <c r="AB201" s="82"/>
      <c r="AC201" s="82"/>
      <c r="AD201" s="82"/>
      <c r="AE201" s="82"/>
      <c r="AF201" s="82"/>
      <c r="AG201" s="82"/>
      <c r="AH201" s="82"/>
      <c r="AI201" s="84"/>
      <c r="AJ201" s="84"/>
      <c r="AK201" s="84"/>
      <c r="AL201" s="84"/>
      <c r="AM201" s="84"/>
      <c r="AN201" s="84"/>
      <c r="AO201" s="84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</row>
    <row r="202" spans="7:51" s="8" customFormat="1" x14ac:dyDescent="0.25"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 s="82"/>
      <c r="AB202" s="82"/>
      <c r="AC202" s="82"/>
      <c r="AD202" s="82"/>
      <c r="AE202" s="82"/>
      <c r="AF202" s="82"/>
      <c r="AG202" s="82"/>
      <c r="AH202" s="84"/>
      <c r="AI202" s="84"/>
      <c r="AJ202" s="84"/>
      <c r="AK202" s="84"/>
      <c r="AL202" s="84"/>
      <c r="AM202" s="84"/>
      <c r="AN202" s="84"/>
      <c r="AO202" s="84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</row>
    <row r="203" spans="7:51" s="8" customFormat="1" x14ac:dyDescent="0.25"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 s="82"/>
      <c r="AB203" s="82"/>
      <c r="AC203" s="82"/>
      <c r="AD203" s="82"/>
      <c r="AE203" s="82"/>
      <c r="AF203" s="82"/>
      <c r="AG203" s="82"/>
      <c r="AH203" s="84"/>
      <c r="AI203" s="84"/>
      <c r="AJ203" s="84"/>
      <c r="AK203" s="84"/>
      <c r="AL203" s="84"/>
      <c r="AM203" s="84"/>
      <c r="AN203" s="84"/>
      <c r="AO203" s="84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</row>
    <row r="204" spans="7:51" x14ac:dyDescent="0.25">
      <c r="AA204" s="82"/>
      <c r="AB204" s="82"/>
      <c r="AC204" s="82"/>
      <c r="AD204" s="82"/>
      <c r="AE204" s="82"/>
      <c r="AF204" s="82"/>
      <c r="AG204" s="82"/>
      <c r="AH204" s="84"/>
      <c r="AI204" s="84"/>
      <c r="AJ204" s="84"/>
      <c r="AK204" s="84"/>
      <c r="AL204" s="84"/>
      <c r="AM204" s="84"/>
      <c r="AN204" s="84"/>
      <c r="AO204" s="84"/>
    </row>
  </sheetData>
  <conditionalFormatting sqref="G5:AY201">
    <cfRule type="expression" dxfId="1" priority="1">
      <formula>MOD(ROW(),2)</formula>
    </cfRule>
  </conditionalFormatting>
  <conditionalFormatting sqref="AM5:AO188">
    <cfRule type="expression" dxfId="0" priority="2">
      <formula>MOD(ROW(),2)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B10A-18CA-EE44-BADA-B88595FF118E}">
  <dimension ref="A1:K18"/>
  <sheetViews>
    <sheetView showOutlineSymbols="0" showWhiteSpace="0" workbookViewId="0"/>
  </sheetViews>
  <sheetFormatPr defaultColWidth="11.42578125" defaultRowHeight="15" x14ac:dyDescent="0.25"/>
  <sheetData>
    <row r="1" spans="1:11" x14ac:dyDescent="0.25">
      <c r="A1" s="56">
        <f t="shared" ref="A1:I1" si="0">EOMONTH(B1,-3)</f>
        <v>44926</v>
      </c>
      <c r="B1" s="56">
        <f t="shared" si="0"/>
        <v>45016</v>
      </c>
      <c r="C1" s="56">
        <f t="shared" si="0"/>
        <v>45107</v>
      </c>
      <c r="D1" s="56">
        <f t="shared" si="0"/>
        <v>45199</v>
      </c>
      <c r="E1" s="56">
        <f t="shared" si="0"/>
        <v>45291</v>
      </c>
      <c r="F1" s="56">
        <f t="shared" si="0"/>
        <v>45382</v>
      </c>
      <c r="G1" s="56">
        <f t="shared" si="0"/>
        <v>45473</v>
      </c>
      <c r="H1" s="56">
        <f t="shared" si="0"/>
        <v>45565</v>
      </c>
      <c r="I1" s="56">
        <f t="shared" si="0"/>
        <v>45657</v>
      </c>
      <c r="J1" s="56">
        <f>EOMONTH(K1,-3)</f>
        <v>45747</v>
      </c>
      <c r="K1" s="56">
        <v>45838</v>
      </c>
    </row>
    <row r="2" spans="1:11" x14ac:dyDescent="0.25">
      <c r="B2">
        <f t="shared" ref="B2:J2" si="1">B1-A1</f>
        <v>90</v>
      </c>
      <c r="C2">
        <f t="shared" si="1"/>
        <v>91</v>
      </c>
      <c r="D2">
        <f t="shared" si="1"/>
        <v>92</v>
      </c>
      <c r="E2">
        <f t="shared" si="1"/>
        <v>92</v>
      </c>
      <c r="F2" s="57">
        <f t="shared" si="1"/>
        <v>91</v>
      </c>
      <c r="G2">
        <f t="shared" si="1"/>
        <v>91</v>
      </c>
      <c r="H2">
        <f t="shared" si="1"/>
        <v>92</v>
      </c>
      <c r="I2">
        <f t="shared" si="1"/>
        <v>92</v>
      </c>
      <c r="J2">
        <f t="shared" si="1"/>
        <v>90</v>
      </c>
      <c r="K2">
        <f>K1-J1</f>
        <v>91</v>
      </c>
    </row>
    <row r="5" spans="1:11" x14ac:dyDescent="0.25">
      <c r="A5" s="56">
        <f t="shared" ref="A5:I5" si="2">EOMONTH(B5,-3)</f>
        <v>44957</v>
      </c>
      <c r="B5" s="56">
        <f t="shared" si="2"/>
        <v>45046</v>
      </c>
      <c r="C5" s="56">
        <f t="shared" si="2"/>
        <v>45138</v>
      </c>
      <c r="D5" s="56">
        <f t="shared" si="2"/>
        <v>45230</v>
      </c>
      <c r="E5" s="56">
        <f t="shared" si="2"/>
        <v>45322</v>
      </c>
      <c r="F5" s="56">
        <f t="shared" si="2"/>
        <v>45412</v>
      </c>
      <c r="G5" s="56">
        <f t="shared" si="2"/>
        <v>45504</v>
      </c>
      <c r="H5" s="56">
        <f t="shared" si="2"/>
        <v>45596</v>
      </c>
      <c r="I5" s="56">
        <f t="shared" si="2"/>
        <v>45688</v>
      </c>
      <c r="J5" s="56">
        <f>EOMONTH(K5,-3)</f>
        <v>45777</v>
      </c>
      <c r="K5" s="56">
        <v>45869</v>
      </c>
    </row>
    <row r="6" spans="1:11" x14ac:dyDescent="0.25">
      <c r="B6">
        <f t="shared" ref="B6:C6" si="3">B5-A5</f>
        <v>89</v>
      </c>
      <c r="C6">
        <f t="shared" si="3"/>
        <v>92</v>
      </c>
      <c r="D6">
        <f t="shared" ref="D6" si="4">D5-C5</f>
        <v>92</v>
      </c>
      <c r="E6">
        <f t="shared" ref="E6" si="5">E5-D5</f>
        <v>92</v>
      </c>
      <c r="F6" s="57">
        <f t="shared" ref="F6" si="6">F5-E5</f>
        <v>90</v>
      </c>
      <c r="G6">
        <f t="shared" ref="G6" si="7">G5-F5</f>
        <v>92</v>
      </c>
      <c r="H6">
        <f t="shared" ref="H6" si="8">H5-G5</f>
        <v>92</v>
      </c>
      <c r="I6">
        <f t="shared" ref="I6" si="9">I5-H5</f>
        <v>92</v>
      </c>
      <c r="J6">
        <f t="shared" ref="J6" si="10">J5-I5</f>
        <v>89</v>
      </c>
      <c r="K6">
        <f>K5-J5</f>
        <v>92</v>
      </c>
    </row>
    <row r="8" spans="1:11" x14ac:dyDescent="0.25">
      <c r="A8">
        <v>725.52</v>
      </c>
    </row>
    <row r="9" spans="1:11" x14ac:dyDescent="0.25">
      <c r="A9">
        <v>827.52</v>
      </c>
    </row>
    <row r="10" spans="1:11" x14ac:dyDescent="0.25">
      <c r="A10">
        <v>883.86</v>
      </c>
    </row>
    <row r="11" spans="1:11" x14ac:dyDescent="0.25">
      <c r="A11">
        <v>1000</v>
      </c>
      <c r="B11">
        <f>SUM(A8:A11)</f>
        <v>3436.9</v>
      </c>
    </row>
    <row r="12" spans="1:11" x14ac:dyDescent="0.25">
      <c r="A12">
        <v>1090</v>
      </c>
    </row>
    <row r="13" spans="1:11" x14ac:dyDescent="0.25">
      <c r="A13">
        <v>1190</v>
      </c>
    </row>
    <row r="14" spans="1:11" x14ac:dyDescent="0.25">
      <c r="A14">
        <v>1230</v>
      </c>
    </row>
    <row r="15" spans="1:11" x14ac:dyDescent="0.25">
      <c r="A15">
        <v>1360</v>
      </c>
      <c r="B15">
        <f>SUM(A12:A15)</f>
        <v>4870</v>
      </c>
    </row>
    <row r="18" spans="2:2" x14ac:dyDescent="0.25">
      <c r="B18" t="str" cm="1">
        <f t="array" ref="B18">_xll.BDP("ANSS US Equity","BEST_SALES", "FPeriod=1TY","AsOf=20240116")</f>
        <v>#N/A Invalid Parameter: Invalid override field: AsOf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Coverage (Latest Price)</vt:lpstr>
      <vt:lpstr>Metrics</vt:lpstr>
      <vt:lpstr>Data</vt:lpstr>
      <vt:lpstr>Search Criteria</vt:lpstr>
      <vt:lpstr>Sheet1</vt:lpstr>
      <vt:lpstr>RawData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AgentUser</dc:creator>
  <cp:lastModifiedBy>AgentUser</cp:lastModifiedBy>
  <dcterms:created xsi:type="dcterms:W3CDTF">2025-07-08T16:50:54Z</dcterms:created>
  <dcterms:modified xsi:type="dcterms:W3CDTF">2025-11-18T15:06:44Z</dcterms:modified>
</cp:coreProperties>
</file>