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Client\E$\Documents\"/>
    </mc:Choice>
  </mc:AlternateContent>
  <xr:revisionPtr revIDLastSave="0" documentId="13_ncr:1_{BE3B17BB-4FE3-425C-BD39-EFDFB070A4A2}" xr6:coauthVersionLast="47" xr6:coauthVersionMax="47" xr10:uidLastSave="{00000000-0000-0000-0000-000000000000}"/>
  <bookViews>
    <workbookView xWindow="585" yWindow="390" windowWidth="22215" windowHeight="14460" activeTab="2" autoFilterDateGrouping="0" xr2:uid="{00000000-000D-0000-FFFF-FFFF00000000}"/>
  </bookViews>
  <sheets>
    <sheet name="Coverage (Latest Price)" sheetId="3" r:id="rId1"/>
    <sheet name="Metrics" sheetId="5" r:id="rId2"/>
    <sheet name="Data" sheetId="1" r:id="rId3"/>
    <sheet name="Search Criteria" sheetId="2" r:id="rId4"/>
    <sheet name="Sheet1" sheetId="4" r:id="rId5"/>
  </sheets>
  <externalReferences>
    <externalReference r:id="rId6"/>
  </externalReferences>
  <definedNames>
    <definedName name="_xlnm._FilterDatabase" localSheetId="0" hidden="1">'Coverage (Latest Price)'!$A$6:$AN$6</definedName>
    <definedName name="_xlnm._FilterDatabase" localSheetId="2" hidden="1">Data!$A$2:$AS$2</definedName>
    <definedName name="bb_NTRFODM0MTI0NEFENDE2MT" hidden="1">Data!$A$3:$A$8</definedName>
    <definedName name="bb_OTRBQUU2QkM4Qzk2NDc0NE" hidden="1">Data!$A$117:$A$134</definedName>
    <definedName name="bb_RURERUVGQ0EzQUY4NDYxRj" hidden="1">Data!$A$47:$A$50</definedName>
    <definedName name="CIQWBGuid" hidden="1">"f89c17d9-d62c-4110-aadc-210c783db8ad"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HIGH_EST_CIQ" hidden="1">"c4977"</definedName>
    <definedName name="IQ_FFO_LOW_EST_CIQ" hidden="1">"c4978"</definedName>
    <definedName name="IQ_FFO_MEDIAN_EST_CIQ" hidden="1">"c4979"</definedName>
    <definedName name="IQ_FFO_NUM_EST_CIQ" hidden="1">"c4980"</definedName>
    <definedName name="IQ_FFO_STDDEV_EST_CIQ" hidden="1">"c4981"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EY_MARKET_DEPOSIT_ACCOUNTS_FDIC" hidden="1">"c6553"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45518.4071412037</definedName>
    <definedName name="IQ_NAV_ACT_OR_EST" hidden="1">"c2225"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PENED55" hidden="1">1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MINING_REVENUE_COAL" hidden="1">"c15931"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ROYALTY_REVENUE_COAL" hidden="1">"c15932"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MONTH" hidden="1">130000</definedName>
    <definedName name="IQRAPPNB5" hidden="1">[1]APPN!$B$6</definedName>
    <definedName name="IQRAPPNC5" hidden="1">[1]APPN!$C$6</definedName>
    <definedName name="IQRAVLRB5" hidden="1">[1]AVLR!$B$6</definedName>
    <definedName name="IQRAVLRC5" hidden="1">[1]AVLR!$C$6</definedName>
    <definedName name="IQRB31" hidden="1">"$B$32:$B$531"</definedName>
    <definedName name="IQRB45" hidden="1">"$B$46:$B$550"</definedName>
    <definedName name="IQRBASEB5" hidden="1">[1]BASE!$B$6</definedName>
    <definedName name="IQRBASEC5" hidden="1">[1]BASE!$C$6</definedName>
    <definedName name="IQRBASEH5" hidden="1">[1]BASE!$H$6</definedName>
    <definedName name="IQRBASEI5" hidden="1">[1]BASE!$I$6</definedName>
    <definedName name="IQRCBLKB5" hidden="1">[1]CBLK!$B$6</definedName>
    <definedName name="IQRCBLKC5" hidden="1">[1]CBLK!$C$6</definedName>
    <definedName name="IQRCRWDB5" hidden="1">[1]CRWD!$B$6</definedName>
    <definedName name="IQRCRWDC5" hidden="1">[1]CRWD!$C$6</definedName>
    <definedName name="IQRDOCUB5" hidden="1">[1]DOCU!$B$6</definedName>
    <definedName name="IQRDOCUC5" hidden="1">[1]DOCU!$C$6</definedName>
    <definedName name="IQRDOMOB5" hidden="1">[1]DOMO!$B$6</definedName>
    <definedName name="IQRDOMOC5" hidden="1">[1]DOMO!$C$6</definedName>
    <definedName name="IQRDOMOH5" hidden="1">[1]DOMO!$H$6</definedName>
    <definedName name="IQRDOMOI5" hidden="1">[1]DOMO!$I$6</definedName>
    <definedName name="IQRDTB5" hidden="1">[1]DT!$B$6</definedName>
    <definedName name="IQRDTC5" hidden="1">[1]DT!$C$6</definedName>
    <definedName name="IQRMDBB5" hidden="1">[1]MDB!$B$6</definedName>
    <definedName name="IQRMDBC5" hidden="1">[1]MDB!$C$6</definedName>
    <definedName name="IQRNEWRB5" hidden="1">[1]NEWR!$B$6</definedName>
    <definedName name="IQRNEWRC5" hidden="1">[1]NEWR!$C$6</definedName>
    <definedName name="IQROKTAB5" hidden="1">[1]OKTA!$B$6</definedName>
    <definedName name="IQROKTAC5" hidden="1">[1]OKTA!$C$6</definedName>
    <definedName name="IQROKTAH5" hidden="1">[1]OKTA!$H$6</definedName>
    <definedName name="IQROKTAI5" hidden="1">[1]OKTA!$I$6</definedName>
    <definedName name="IQRPDB5" hidden="1">[1]PD!$B$6</definedName>
    <definedName name="IQRPDC5" hidden="1">[1]PD!$C$6</definedName>
    <definedName name="IQRPLANB5" hidden="1">[1]PLAN!$B$6</definedName>
    <definedName name="IQRPLANC5" hidden="1">[1]PLAN!$C$6</definedName>
    <definedName name="IQRSAILB5" hidden="1">[1]SAIL!$B$6</definedName>
    <definedName name="IQRSAILC5" hidden="1">[1]SAIL!$C$6</definedName>
    <definedName name="IQRSP500B45" localSheetId="0" hidden="1">#REF!</definedName>
    <definedName name="IQRSP500B45" hidden="1">#REF!</definedName>
    <definedName name="IQRTENBB5" hidden="1">[1]TENB!$B$6</definedName>
    <definedName name="IQRTENBC5" hidden="1">[1]TENB!$C$6</definedName>
    <definedName name="IQRZMB5" hidden="1">[1]ZM!$B$6</definedName>
    <definedName name="IQRZMC5" hidden="1">[1]ZM!$C$6</definedName>
    <definedName name="IQRZSB5" hidden="1">[1]ZS!$B$6</definedName>
    <definedName name="IQRZSC5" hidden="1">[1]ZS!$C$6</definedName>
    <definedName name="IQRZUOB5" hidden="1">[1]ZUO!$B$6</definedName>
    <definedName name="IQRZUOC5" hidden="1">[1]ZUO!$C$6</definedName>
    <definedName name="RawData">Data!$A$3:$AR$134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 a="1"/>
  <c r="AT4" i="2" l="1"/>
  <c r="AS4" i="2"/>
  <c r="AR4" i="2"/>
  <c r="AQ4" i="2"/>
  <c r="AP4" i="2"/>
  <c r="AT3" i="2"/>
  <c r="AR3" i="2"/>
  <c r="AQ3" i="2"/>
  <c r="AP3" i="2"/>
  <c r="AS3" i="2"/>
  <c r="G5" i="2"/>
  <c r="AI4" i="2"/>
  <c r="AA4" i="2"/>
  <c r="S4" i="2"/>
  <c r="K4" i="2"/>
  <c r="AI3" i="2"/>
  <c r="AA3" i="2"/>
  <c r="S3" i="2"/>
  <c r="K3" i="2"/>
  <c r="AH4" i="2"/>
  <c r="Z4" i="2"/>
  <c r="R4" i="2"/>
  <c r="Z3" i="2"/>
  <c r="H3" i="2"/>
  <c r="H4" i="2"/>
  <c r="L3" i="2"/>
  <c r="T3" i="2"/>
  <c r="AB3" i="2"/>
  <c r="AJ3" i="2"/>
  <c r="L4" i="2"/>
  <c r="T4" i="2"/>
  <c r="AB4" i="2"/>
  <c r="AJ4" i="2"/>
  <c r="AK4" i="2"/>
  <c r="M3" i="2"/>
  <c r="U4" i="2"/>
  <c r="N3" i="2"/>
  <c r="V3" i="2"/>
  <c r="AD3" i="2"/>
  <c r="AL3" i="2"/>
  <c r="N4" i="2"/>
  <c r="V4" i="2"/>
  <c r="AD4" i="2"/>
  <c r="AL4" i="2"/>
  <c r="AH3" i="2"/>
  <c r="AK3" i="2"/>
  <c r="AC4" i="2"/>
  <c r="O3" i="2"/>
  <c r="W3" i="2"/>
  <c r="AE3" i="2"/>
  <c r="AM3" i="2"/>
  <c r="O4" i="2"/>
  <c r="W4" i="2"/>
  <c r="AE4" i="2"/>
  <c r="AM4" i="2"/>
  <c r="R3" i="2"/>
  <c r="AC3" i="2"/>
  <c r="M4" i="2"/>
  <c r="P3" i="2"/>
  <c r="X3" i="2"/>
  <c r="AF3" i="2"/>
  <c r="AN3" i="2"/>
  <c r="P4" i="2"/>
  <c r="X4" i="2"/>
  <c r="AF4" i="2"/>
  <c r="AN4" i="2"/>
  <c r="U3" i="2"/>
  <c r="Q3" i="2"/>
  <c r="Y3" i="2"/>
  <c r="AG3" i="2"/>
  <c r="AO3" i="2"/>
  <c r="Q4" i="2"/>
  <c r="Y4" i="2"/>
  <c r="AG4" i="2"/>
  <c r="AO4" i="2"/>
  <c r="B18" i="4" a="1"/>
  <c r="B18" i="4" l="1"/>
  <c r="AK1" i="3" l="1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R1" i="3"/>
  <c r="B15" i="4" l="1"/>
  <c r="B11" i="4"/>
  <c r="J25" i="3" l="1"/>
  <c r="E18" i="5"/>
  <c r="E17" i="5"/>
  <c r="C8" i="5"/>
  <c r="D8" i="5" s="1"/>
  <c r="E8" i="5" l="1"/>
  <c r="B9" i="5" l="1"/>
  <c r="B7" i="5"/>
  <c r="Q9" i="3"/>
  <c r="B6" i="5" l="1"/>
  <c r="C7" i="5"/>
  <c r="B10" i="5"/>
  <c r="C9" i="5"/>
  <c r="D10" i="3"/>
  <c r="E7" i="5" l="1"/>
  <c r="D7" i="5"/>
  <c r="D9" i="5"/>
  <c r="E9" i="5"/>
  <c r="B11" i="5"/>
  <c r="C10" i="5"/>
  <c r="B5" i="5"/>
  <c r="C6" i="5"/>
  <c r="D17" i="3"/>
  <c r="B12" i="5" l="1"/>
  <c r="C11" i="5"/>
  <c r="E6" i="5"/>
  <c r="D6" i="5"/>
  <c r="B4" i="5"/>
  <c r="C5" i="5"/>
  <c r="D10" i="5"/>
  <c r="E10" i="5"/>
  <c r="AA26" i="3"/>
  <c r="Z26" i="3"/>
  <c r="AA25" i="3"/>
  <c r="Z25" i="3"/>
  <c r="AA24" i="3"/>
  <c r="Z24" i="3"/>
  <c r="AA23" i="3"/>
  <c r="Z23" i="3"/>
  <c r="AA22" i="3"/>
  <c r="Z22" i="3"/>
  <c r="AA21" i="3"/>
  <c r="Z21" i="3"/>
  <c r="AA20" i="3"/>
  <c r="Z20" i="3"/>
  <c r="AA19" i="3"/>
  <c r="Z19" i="3"/>
  <c r="AA18" i="3"/>
  <c r="Z18" i="3"/>
  <c r="AA16" i="3"/>
  <c r="Z16" i="3"/>
  <c r="AA15" i="3"/>
  <c r="Z15" i="3"/>
  <c r="AA14" i="3"/>
  <c r="Z14" i="3"/>
  <c r="AA13" i="3"/>
  <c r="AA12" i="3"/>
  <c r="Z12" i="3"/>
  <c r="AA11" i="3"/>
  <c r="Z11" i="3"/>
  <c r="AA10" i="3"/>
  <c r="Z10" i="3"/>
  <c r="AA9" i="3"/>
  <c r="Z9" i="3"/>
  <c r="AA8" i="3"/>
  <c r="Z8" i="3"/>
  <c r="AA7" i="3"/>
  <c r="Z7" i="3"/>
  <c r="X26" i="3"/>
  <c r="X25" i="3"/>
  <c r="X24" i="3"/>
  <c r="X23" i="3"/>
  <c r="X22" i="3"/>
  <c r="X21" i="3"/>
  <c r="X20" i="3"/>
  <c r="X19" i="3"/>
  <c r="X18" i="3"/>
  <c r="AB18" i="3" s="1"/>
  <c r="X16" i="3"/>
  <c r="X15" i="3"/>
  <c r="AB15" i="3" s="1"/>
  <c r="X14" i="3"/>
  <c r="AB14" i="3" s="1"/>
  <c r="X13" i="3"/>
  <c r="X12" i="3"/>
  <c r="X11" i="3"/>
  <c r="X10" i="3"/>
  <c r="X9" i="3"/>
  <c r="X8" i="3"/>
  <c r="X7" i="3"/>
  <c r="Y17" i="3"/>
  <c r="AA17" i="3"/>
  <c r="Z17" i="3"/>
  <c r="X17" i="3"/>
  <c r="Q17" i="3"/>
  <c r="AC26" i="3"/>
  <c r="AC25" i="3"/>
  <c r="AC24" i="3"/>
  <c r="AC23" i="3"/>
  <c r="AC22" i="3"/>
  <c r="AC21" i="3"/>
  <c r="AC20" i="3"/>
  <c r="AC19" i="3"/>
  <c r="AC18" i="3"/>
  <c r="AC16" i="3"/>
  <c r="AC15" i="3"/>
  <c r="AC14" i="3"/>
  <c r="AC13" i="3"/>
  <c r="AC12" i="3"/>
  <c r="AC11" i="3"/>
  <c r="AC8" i="3"/>
  <c r="AC7" i="3"/>
  <c r="AB26" i="3"/>
  <c r="AB24" i="3"/>
  <c r="AB23" i="3"/>
  <c r="AB22" i="3"/>
  <c r="AB20" i="3"/>
  <c r="AB19" i="3"/>
  <c r="AB17" i="3"/>
  <c r="AB16" i="3"/>
  <c r="AB13" i="3"/>
  <c r="AB12" i="3"/>
  <c r="AB11" i="3"/>
  <c r="AB7" i="3"/>
  <c r="AB10" i="3"/>
  <c r="Y10" i="3"/>
  <c r="AC10" i="3" s="1"/>
  <c r="Q10" i="3"/>
  <c r="B6" i="4"/>
  <c r="B2" i="4"/>
  <c r="C2" i="4"/>
  <c r="A5" i="4"/>
  <c r="A1" i="4"/>
  <c r="J5" i="4"/>
  <c r="K6" i="4" s="1"/>
  <c r="B1" i="4"/>
  <c r="J2" i="4"/>
  <c r="I2" i="4"/>
  <c r="H2" i="4"/>
  <c r="G2" i="4"/>
  <c r="F2" i="4"/>
  <c r="E2" i="4"/>
  <c r="D2" i="4"/>
  <c r="K2" i="4"/>
  <c r="I1" i="4"/>
  <c r="H1" i="4" s="1"/>
  <c r="G1" i="4" s="1"/>
  <c r="F1" i="4" s="1"/>
  <c r="E1" i="4" s="1"/>
  <c r="D1" i="4" s="1"/>
  <c r="C1" i="4" s="1"/>
  <c r="J1" i="4"/>
  <c r="W29" i="3"/>
  <c r="V29" i="3"/>
  <c r="U29" i="3"/>
  <c r="T29" i="3"/>
  <c r="S29" i="3"/>
  <c r="R29" i="3"/>
  <c r="Q29" i="3"/>
  <c r="P29" i="3"/>
  <c r="W28" i="3"/>
  <c r="V28" i="3"/>
  <c r="U28" i="3"/>
  <c r="T28" i="3"/>
  <c r="S28" i="3"/>
  <c r="R28" i="3"/>
  <c r="Q28" i="3"/>
  <c r="P28" i="3"/>
  <c r="G26" i="3"/>
  <c r="I26" i="3" s="1"/>
  <c r="G25" i="3"/>
  <c r="I25" i="3" s="1"/>
  <c r="G24" i="3"/>
  <c r="I24" i="3" s="1"/>
  <c r="G23" i="3"/>
  <c r="I23" i="3" s="1"/>
  <c r="G22" i="3"/>
  <c r="I22" i="3" s="1"/>
  <c r="G21" i="3"/>
  <c r="I21" i="3" s="1"/>
  <c r="G20" i="3"/>
  <c r="I20" i="3" s="1"/>
  <c r="G19" i="3"/>
  <c r="I19" i="3" s="1"/>
  <c r="G18" i="3"/>
  <c r="I18" i="3" s="1"/>
  <c r="G17" i="3"/>
  <c r="I17" i="3" s="1"/>
  <c r="G16" i="3"/>
  <c r="I16" i="3" s="1"/>
  <c r="G15" i="3"/>
  <c r="I15" i="3" s="1"/>
  <c r="G14" i="3"/>
  <c r="I14" i="3" s="1"/>
  <c r="G13" i="3"/>
  <c r="I13" i="3" s="1"/>
  <c r="G12" i="3"/>
  <c r="I12" i="3" s="1"/>
  <c r="G11" i="3"/>
  <c r="I11" i="3" s="1"/>
  <c r="G10" i="3"/>
  <c r="I10" i="3" s="1"/>
  <c r="G9" i="3"/>
  <c r="I9" i="3" s="1"/>
  <c r="G8" i="3"/>
  <c r="I8" i="3" s="1"/>
  <c r="G7" i="3"/>
  <c r="I7" i="3" s="1"/>
  <c r="AB25" i="3" l="1"/>
  <c r="D5" i="5"/>
  <c r="E5" i="5"/>
  <c r="B3" i="5"/>
  <c r="C3" i="5" s="1"/>
  <c r="C4" i="5"/>
  <c r="E11" i="5"/>
  <c r="D11" i="5"/>
  <c r="B13" i="5"/>
  <c r="C13" i="5" s="1"/>
  <c r="C12" i="5"/>
  <c r="AA29" i="3"/>
  <c r="X29" i="3"/>
  <c r="AB9" i="3"/>
  <c r="Y9" i="3"/>
  <c r="AA28" i="3"/>
  <c r="Z29" i="3"/>
  <c r="Z28" i="3"/>
  <c r="AB8" i="3"/>
  <c r="AB21" i="3"/>
  <c r="X28" i="3"/>
  <c r="AC17" i="3"/>
  <c r="Y29" i="3"/>
  <c r="Y28" i="3"/>
  <c r="AB28" i="3"/>
  <c r="AB29" i="3"/>
  <c r="I5" i="4"/>
  <c r="J6" i="4"/>
  <c r="AI21" i="3"/>
  <c r="AJ21" i="3"/>
  <c r="AI15" i="3"/>
  <c r="AJ15" i="3"/>
  <c r="AD7" i="3"/>
  <c r="AJ7" i="3"/>
  <c r="AI7" i="3"/>
  <c r="AH7" i="3"/>
  <c r="AF7" i="3"/>
  <c r="AE7" i="3"/>
  <c r="AI11" i="3"/>
  <c r="AH11" i="3"/>
  <c r="AF11" i="3"/>
  <c r="AJ11" i="3"/>
  <c r="AE11" i="3"/>
  <c r="AD11" i="3"/>
  <c r="AI14" i="3"/>
  <c r="AH14" i="3"/>
  <c r="AF14" i="3"/>
  <c r="AD14" i="3"/>
  <c r="AE14" i="3"/>
  <c r="AJ14" i="3"/>
  <c r="AJ24" i="3"/>
  <c r="AI24" i="3"/>
  <c r="AF24" i="3"/>
  <c r="AD24" i="3"/>
  <c r="AG24" i="3" s="1"/>
  <c r="AH24" i="3"/>
  <c r="AK24" i="3" s="1"/>
  <c r="AE24" i="3"/>
  <c r="AJ18" i="3"/>
  <c r="AI18" i="3"/>
  <c r="AD18" i="3"/>
  <c r="AF18" i="3"/>
  <c r="AE18" i="3"/>
  <c r="AH18" i="3"/>
  <c r="AE13" i="3"/>
  <c r="AH13" i="3"/>
  <c r="AD13" i="3"/>
  <c r="AF13" i="3"/>
  <c r="AJ13" i="3"/>
  <c r="AI13" i="3"/>
  <c r="AE22" i="3"/>
  <c r="AJ22" i="3"/>
  <c r="AH22" i="3"/>
  <c r="AI22" i="3"/>
  <c r="AF22" i="3"/>
  <c r="AD22" i="3"/>
  <c r="AJ23" i="3"/>
  <c r="AI23" i="3"/>
  <c r="AH23" i="3"/>
  <c r="AD23" i="3"/>
  <c r="AF23" i="3"/>
  <c r="AE23" i="3"/>
  <c r="AE25" i="3"/>
  <c r="AF25" i="3"/>
  <c r="AD25" i="3"/>
  <c r="AH25" i="3"/>
  <c r="AJ25" i="3"/>
  <c r="AI25" i="3"/>
  <c r="AE19" i="3"/>
  <c r="AH19" i="3"/>
  <c r="AD19" i="3"/>
  <c r="AJ19" i="3"/>
  <c r="AI19" i="3"/>
  <c r="AF19" i="3"/>
  <c r="AI12" i="3"/>
  <c r="AJ12" i="3"/>
  <c r="AF12" i="3"/>
  <c r="AH12" i="3"/>
  <c r="AE12" i="3"/>
  <c r="AD12" i="3"/>
  <c r="AJ16" i="3"/>
  <c r="AF16" i="3"/>
  <c r="AE16" i="3"/>
  <c r="AI16" i="3"/>
  <c r="AH16" i="3"/>
  <c r="AD16" i="3"/>
  <c r="AJ26" i="3"/>
  <c r="AH26" i="3"/>
  <c r="AF26" i="3"/>
  <c r="AD26" i="3"/>
  <c r="AE26" i="3"/>
  <c r="AI26" i="3"/>
  <c r="AD17" i="3"/>
  <c r="AJ17" i="3"/>
  <c r="AI17" i="3"/>
  <c r="AH17" i="3"/>
  <c r="AF17" i="3"/>
  <c r="AE17" i="3"/>
  <c r="AF8" i="3"/>
  <c r="AH8" i="3"/>
  <c r="AE8" i="3"/>
  <c r="AD8" i="3"/>
  <c r="AI8" i="3"/>
  <c r="AJ8" i="3"/>
  <c r="AH9" i="3"/>
  <c r="AE9" i="3"/>
  <c r="AF9" i="3"/>
  <c r="AD9" i="3"/>
  <c r="AI9" i="3"/>
  <c r="AJ9" i="3"/>
  <c r="AJ10" i="3"/>
  <c r="AD10" i="3"/>
  <c r="AI10" i="3"/>
  <c r="AH10" i="3"/>
  <c r="AF10" i="3"/>
  <c r="AE10" i="3"/>
  <c r="AF20" i="3"/>
  <c r="AD20" i="3"/>
  <c r="AE20" i="3"/>
  <c r="AJ20" i="3"/>
  <c r="AI20" i="3"/>
  <c r="AH20" i="3"/>
  <c r="AD15" i="3"/>
  <c r="AE15" i="3"/>
  <c r="AE21" i="3"/>
  <c r="AF15" i="3"/>
  <c r="AF21" i="3"/>
  <c r="AH15" i="3"/>
  <c r="AH21" i="3"/>
  <c r="AD21" i="3"/>
  <c r="E12" i="5" l="1"/>
  <c r="D12" i="5"/>
  <c r="E4" i="5"/>
  <c r="D4" i="5"/>
  <c r="E3" i="5"/>
  <c r="D3" i="5"/>
  <c r="E13" i="5"/>
  <c r="D13" i="5"/>
  <c r="AC9" i="3"/>
  <c r="AC28" i="3"/>
  <c r="AK19" i="3"/>
  <c r="AK11" i="3"/>
  <c r="AG12" i="3"/>
  <c r="AG22" i="3"/>
  <c r="AG14" i="3"/>
  <c r="AK7" i="3"/>
  <c r="AG20" i="3"/>
  <c r="AK21" i="3"/>
  <c r="AK15" i="3"/>
  <c r="AG25" i="3"/>
  <c r="AK22" i="3"/>
  <c r="AG7" i="3"/>
  <c r="AG16" i="3"/>
  <c r="AG8" i="3"/>
  <c r="AG26" i="3"/>
  <c r="AK12" i="3"/>
  <c r="AK25" i="3"/>
  <c r="AG21" i="3"/>
  <c r="AK9" i="3"/>
  <c r="AG17" i="3"/>
  <c r="AK26" i="3"/>
  <c r="AG15" i="3"/>
  <c r="AK20" i="3"/>
  <c r="AK16" i="3"/>
  <c r="AK8" i="3"/>
  <c r="AK14" i="3"/>
  <c r="AG9" i="3"/>
  <c r="AK17" i="3"/>
  <c r="AG23" i="3"/>
  <c r="AG19" i="3"/>
  <c r="AK23" i="3"/>
  <c r="AG10" i="3"/>
  <c r="AK10" i="3"/>
  <c r="AK18" i="3"/>
  <c r="AG18" i="3"/>
  <c r="AG13" i="3"/>
  <c r="AK13" i="3"/>
  <c r="H5" i="4"/>
  <c r="I6" i="4" s="1"/>
  <c r="AI28" i="3"/>
  <c r="AI29" i="3"/>
  <c r="AJ29" i="3"/>
  <c r="AF29" i="3"/>
  <c r="AE29" i="3"/>
  <c r="AF28" i="3"/>
  <c r="AH29" i="3"/>
  <c r="AJ28" i="3"/>
  <c r="AE28" i="3"/>
  <c r="AD29" i="3"/>
  <c r="AH28" i="3"/>
  <c r="AD28" i="3"/>
  <c r="AC29" i="3" l="1"/>
  <c r="AG29" i="3"/>
  <c r="AG28" i="3"/>
  <c r="AK29" i="3"/>
  <c r="AK28" i="3"/>
  <c r="G5" i="4"/>
  <c r="H6" i="4" s="1"/>
  <c r="F5" i="4" l="1"/>
  <c r="G6" i="4" s="1"/>
  <c r="E5" i="4" l="1"/>
  <c r="D5" i="4" l="1"/>
  <c r="E6" i="4"/>
  <c r="F6" i="4"/>
  <c r="C5" i="4" l="1"/>
  <c r="D6" i="4" s="1"/>
  <c r="B5" i="4" l="1"/>
  <c r="C6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<sst xmlns="http://schemas.openxmlformats.org/spreadsheetml/2006/main" count="963" uniqueCount="401">
  <si>
    <t>Ticker</t>
  </si>
  <si>
    <t>MSFT</t>
  </si>
  <si>
    <t>ORCL</t>
  </si>
  <si>
    <t>SAP</t>
  </si>
  <si>
    <t>PLTR</t>
  </si>
  <si>
    <t>CRM</t>
  </si>
  <si>
    <t>INTU</t>
  </si>
  <si>
    <t>NOW</t>
  </si>
  <si>
    <t>ADBE</t>
  </si>
  <si>
    <t>SHOP</t>
  </si>
  <si>
    <t>APP</t>
  </si>
  <si>
    <t>CDNS</t>
  </si>
  <si>
    <t>SNPS</t>
  </si>
  <si>
    <t>WDAY</t>
  </si>
  <si>
    <t>ADSK</t>
  </si>
  <si>
    <t>TEAM</t>
  </si>
  <si>
    <t>VEEV</t>
  </si>
  <si>
    <t>CSGP</t>
  </si>
  <si>
    <t>HUBS</t>
  </si>
  <si>
    <t>GDDY</t>
  </si>
  <si>
    <t>ZM</t>
  </si>
  <si>
    <t>IOT</t>
  </si>
  <si>
    <t>GWRE</t>
  </si>
  <si>
    <t>PTC</t>
  </si>
  <si>
    <t>SSNC</t>
  </si>
  <si>
    <t>BSY</t>
  </si>
  <si>
    <t>MNDY</t>
  </si>
  <si>
    <t>DOCU</t>
  </si>
  <si>
    <t>PAYC</t>
  </si>
  <si>
    <t>MANH</t>
  </si>
  <si>
    <t>DOCS</t>
  </si>
  <si>
    <t>U</t>
  </si>
  <si>
    <t>KVYO</t>
  </si>
  <si>
    <t>PCTY</t>
  </si>
  <si>
    <t>PCOR</t>
  </si>
  <si>
    <t>DAY</t>
  </si>
  <si>
    <t>WIX</t>
  </si>
  <si>
    <t>DSGX</t>
  </si>
  <si>
    <t>APPF</t>
  </si>
  <si>
    <t>OS</t>
  </si>
  <si>
    <t>CWAN</t>
  </si>
  <si>
    <t>VERX</t>
  </si>
  <si>
    <t>QTWO</t>
  </si>
  <si>
    <t>SPSC</t>
  </si>
  <si>
    <t>FRSH</t>
  </si>
  <si>
    <t>INTA</t>
  </si>
  <si>
    <t>BILL</t>
  </si>
  <si>
    <t>PAY</t>
  </si>
  <si>
    <t>CLBT</t>
  </si>
  <si>
    <t>WK</t>
  </si>
  <si>
    <t>BL</t>
  </si>
  <si>
    <t>YOU</t>
  </si>
  <si>
    <t>ASAN</t>
  </si>
  <si>
    <t>NCNO</t>
  </si>
  <si>
    <t>BRZE</t>
  </si>
  <si>
    <t>BLKB</t>
  </si>
  <si>
    <t>ZETA</t>
  </si>
  <si>
    <t>ALRM</t>
  </si>
  <si>
    <t>ALKT</t>
  </si>
  <si>
    <t>RNG</t>
  </si>
  <si>
    <t>DV</t>
  </si>
  <si>
    <t>CXM</t>
  </si>
  <si>
    <t>FIVN</t>
  </si>
  <si>
    <t>EVCM</t>
  </si>
  <si>
    <t>SPNS</t>
  </si>
  <si>
    <t>LZ</t>
  </si>
  <si>
    <t>AMPL</t>
  </si>
  <si>
    <t>LSPD</t>
  </si>
  <si>
    <t>XMTR</t>
  </si>
  <si>
    <t>KARO</t>
  </si>
  <si>
    <t>IAS</t>
  </si>
  <si>
    <t>SEMR</t>
  </si>
  <si>
    <t>MLNK</t>
  </si>
  <si>
    <t>JAMF</t>
  </si>
  <si>
    <t>VTEX</t>
  </si>
  <si>
    <t>SPT</t>
  </si>
  <si>
    <t>VRNT</t>
  </si>
  <si>
    <t>UDMY</t>
  </si>
  <si>
    <t>YEXT</t>
  </si>
  <si>
    <t>DCBO</t>
  </si>
  <si>
    <t>RSKD</t>
  </si>
  <si>
    <t>PRO</t>
  </si>
  <si>
    <t>WEAV</t>
  </si>
  <si>
    <t>SMWB</t>
  </si>
  <si>
    <t>DOMO</t>
  </si>
  <si>
    <t>DH</t>
  </si>
  <si>
    <t>KLTR</t>
  </si>
  <si>
    <t>IBM</t>
  </si>
  <si>
    <t>PANW</t>
  </si>
  <si>
    <t>CRWD</t>
  </si>
  <si>
    <t>FTNT</t>
  </si>
  <si>
    <t>CRWV</t>
  </si>
  <si>
    <t>SNOW</t>
  </si>
  <si>
    <t>NET</t>
  </si>
  <si>
    <t>ZS</t>
  </si>
  <si>
    <t>DDOG</t>
  </si>
  <si>
    <t>CHKP</t>
  </si>
  <si>
    <t>NTNX</t>
  </si>
  <si>
    <t>CYBR</t>
  </si>
  <si>
    <t>PSTG</t>
  </si>
  <si>
    <t>TWLO</t>
  </si>
  <si>
    <t>OKTA</t>
  </si>
  <si>
    <t>MDB</t>
  </si>
  <si>
    <t>DT</t>
  </si>
  <si>
    <t>SAIL</t>
  </si>
  <si>
    <t>AKAM</t>
  </si>
  <si>
    <t>PEGA</t>
  </si>
  <si>
    <t>ESTC</t>
  </si>
  <si>
    <t>CFLT</t>
  </si>
  <si>
    <t>CVLT</t>
  </si>
  <si>
    <t>DBX</t>
  </si>
  <si>
    <t>INFA</t>
  </si>
  <si>
    <t>GTLB</t>
  </si>
  <si>
    <t>PATH</t>
  </si>
  <si>
    <t>BOX</t>
  </si>
  <si>
    <t>S</t>
  </si>
  <si>
    <t>VRNS</t>
  </si>
  <si>
    <t>FROG</t>
  </si>
  <si>
    <t>QLYS</t>
  </si>
  <si>
    <t>AI</t>
  </si>
  <si>
    <t>TENB</t>
  </si>
  <si>
    <t>AVPT</t>
  </si>
  <si>
    <t>PRGS</t>
  </si>
  <si>
    <t>DOCN</t>
  </si>
  <si>
    <t>APPN</t>
  </si>
  <si>
    <t>TDC</t>
  </si>
  <si>
    <t>NABL</t>
  </si>
  <si>
    <t>RPD</t>
  </si>
  <si>
    <t>PD</t>
  </si>
  <si>
    <t>FSLY</t>
  </si>
  <si>
    <t>BAND</t>
  </si>
  <si>
    <t>Long Name</t>
  </si>
  <si>
    <t>Microsoft Corp</t>
  </si>
  <si>
    <t>Oracle Corp</t>
  </si>
  <si>
    <t>SAP SE</t>
  </si>
  <si>
    <t>Palantir Technologies Inc</t>
  </si>
  <si>
    <t>Salesforce Inc</t>
  </si>
  <si>
    <t>Intuit Inc</t>
  </si>
  <si>
    <t>ServiceNow Inc</t>
  </si>
  <si>
    <t>Adobe Inc</t>
  </si>
  <si>
    <t>Shopify Inc</t>
  </si>
  <si>
    <t>AppLovin Corp</t>
  </si>
  <si>
    <t>Cadence Design Systems Inc</t>
  </si>
  <si>
    <t>Synopsys Inc</t>
  </si>
  <si>
    <t>Workday Inc</t>
  </si>
  <si>
    <t>Autodesk Inc</t>
  </si>
  <si>
    <t>Atlassian Corp</t>
  </si>
  <si>
    <t>Veeva Systems Inc</t>
  </si>
  <si>
    <t>CoStar Group Inc</t>
  </si>
  <si>
    <t>HubSpot Inc</t>
  </si>
  <si>
    <t>GoDaddy Inc</t>
  </si>
  <si>
    <t>Zoom Communications Inc</t>
  </si>
  <si>
    <t>Samsara Inc</t>
  </si>
  <si>
    <t>Guidewire Software Inc</t>
  </si>
  <si>
    <t>PTC Inc</t>
  </si>
  <si>
    <t>SS&amp;C Technologies Holdings Inc</t>
  </si>
  <si>
    <t>Bentley Systems Inc</t>
  </si>
  <si>
    <t>Monday.com</t>
  </si>
  <si>
    <t>Docusign Inc</t>
  </si>
  <si>
    <t>Paycom Software Inc</t>
  </si>
  <si>
    <t>Manhattan Associates Inc</t>
  </si>
  <si>
    <t>Doximity Inc</t>
  </si>
  <si>
    <t>Unity Software Inc</t>
  </si>
  <si>
    <t>Klaviyo Inc</t>
  </si>
  <si>
    <t>Paylocity Holding Corp</t>
  </si>
  <si>
    <t>Procore Technologies Inc</t>
  </si>
  <si>
    <t>Dayforce Inc</t>
  </si>
  <si>
    <t>Wix.com Ltd</t>
  </si>
  <si>
    <t>Descartes Systems Group Inc/The</t>
  </si>
  <si>
    <t>Appfolio Inc</t>
  </si>
  <si>
    <t>Onestream Inc</t>
  </si>
  <si>
    <t>Clearwater Analytics Holdings Inc</t>
  </si>
  <si>
    <t>Vertex Inc</t>
  </si>
  <si>
    <t>Q2 Holdings Inc</t>
  </si>
  <si>
    <t>SPS Commerce Inc</t>
  </si>
  <si>
    <t>Freshworks</t>
  </si>
  <si>
    <t>Intapp Inc</t>
  </si>
  <si>
    <t>BILL Holdings Inc</t>
  </si>
  <si>
    <t>Paymentus Holdings Inc</t>
  </si>
  <si>
    <t>Cellebrite DI Ltd</t>
  </si>
  <si>
    <t>Workiva Inc</t>
  </si>
  <si>
    <t>BlackLine</t>
  </si>
  <si>
    <t>Clear Secure Inc</t>
  </si>
  <si>
    <t>Asana</t>
  </si>
  <si>
    <t>nCino Inc</t>
  </si>
  <si>
    <t>Braze</t>
  </si>
  <si>
    <t>Blackbaud Inc</t>
  </si>
  <si>
    <t>Zeta Global Holdings Corp</t>
  </si>
  <si>
    <t>Alarm.com Holdings Inc</t>
  </si>
  <si>
    <t>Alkami Technology Inc</t>
  </si>
  <si>
    <t>RingCentral Inc</t>
  </si>
  <si>
    <t>DoubleVerify Holdings Inc</t>
  </si>
  <si>
    <t>Sprinklr</t>
  </si>
  <si>
    <t>Five9 Inc</t>
  </si>
  <si>
    <t>EverCommerce Inc</t>
  </si>
  <si>
    <t>Sapiens International Corp NV</t>
  </si>
  <si>
    <t>Legalzoom.com Inc</t>
  </si>
  <si>
    <t>Amplitude Inc</t>
  </si>
  <si>
    <t>Lightspeed Commerce Inc</t>
  </si>
  <si>
    <t>Xometry Inc</t>
  </si>
  <si>
    <t>Karooooo Ltd</t>
  </si>
  <si>
    <t>Integral Ad Science Holding Corp</t>
  </si>
  <si>
    <t>SEMrush Holdings Inc</t>
  </si>
  <si>
    <t>Meridianlink Inc</t>
  </si>
  <si>
    <t>Jamf Holding Corp</t>
  </si>
  <si>
    <t>Sprout Social Inc</t>
  </si>
  <si>
    <t>Verint Systems Inc</t>
  </si>
  <si>
    <t>Udemy Inc</t>
  </si>
  <si>
    <t>Yext Inc</t>
  </si>
  <si>
    <t>Docebo Inc</t>
  </si>
  <si>
    <t>Riskified Ltd</t>
  </si>
  <si>
    <t>PROS Holdings Inc</t>
  </si>
  <si>
    <t>Weave Communications Inc</t>
  </si>
  <si>
    <t>SimilarWeb Ltd</t>
  </si>
  <si>
    <t>Domo Inc</t>
  </si>
  <si>
    <t>Definitive Healthcare Corp</t>
  </si>
  <si>
    <t>BigCommerce Holdings Inc</t>
  </si>
  <si>
    <t>Kaltura Inc</t>
  </si>
  <si>
    <t>International Business Machines Corp</t>
  </si>
  <si>
    <t>Palo Alto Networks Inc</t>
  </si>
  <si>
    <t>Crowdstrike Holdings Inc</t>
  </si>
  <si>
    <t>Fortinet Inc</t>
  </si>
  <si>
    <t>CoreWeave Inc</t>
  </si>
  <si>
    <t>Snowflake Inc</t>
  </si>
  <si>
    <t>Cloudflare Inc</t>
  </si>
  <si>
    <t>Zscaler Inc</t>
  </si>
  <si>
    <t>Datadog Inc</t>
  </si>
  <si>
    <t>Check Point Software Technologies Ltd</t>
  </si>
  <si>
    <t>Nutanix</t>
  </si>
  <si>
    <t>CyberArk Software Ltd</t>
  </si>
  <si>
    <t>Pure Storage</t>
  </si>
  <si>
    <t>Twilio Inc</t>
  </si>
  <si>
    <t>Okta Inc</t>
  </si>
  <si>
    <t>MongoDB Inc</t>
  </si>
  <si>
    <t>Dynatrace</t>
  </si>
  <si>
    <t>SailPoint Inc</t>
  </si>
  <si>
    <t>Akamai Technologies Inc</t>
  </si>
  <si>
    <t>Pegasystems</t>
  </si>
  <si>
    <t>Elastic</t>
  </si>
  <si>
    <t>Confluent</t>
  </si>
  <si>
    <t>Commvault Systems Inc</t>
  </si>
  <si>
    <t>Dropbox Inc</t>
  </si>
  <si>
    <t>Informatica</t>
  </si>
  <si>
    <t>Gitlab</t>
  </si>
  <si>
    <t>UiPath Inc</t>
  </si>
  <si>
    <t>Box</t>
  </si>
  <si>
    <t>SentinelOne Inc</t>
  </si>
  <si>
    <t>Varonis Systems Inc</t>
  </si>
  <si>
    <t>JFrog</t>
  </si>
  <si>
    <t>Qualys Inc</t>
  </si>
  <si>
    <t>C3.ai</t>
  </si>
  <si>
    <t>Tenable Holdings Inc</t>
  </si>
  <si>
    <t>AvePoint Inc</t>
  </si>
  <si>
    <t>Progress</t>
  </si>
  <si>
    <t>Digital Ocean</t>
  </si>
  <si>
    <t>Appian Corp</t>
  </si>
  <si>
    <t>Teradata Corp</t>
  </si>
  <si>
    <t>N-able Inc/US</t>
  </si>
  <si>
    <t>Rapid7 Inc</t>
  </si>
  <si>
    <t>PagerDuty</t>
  </si>
  <si>
    <t>Fastly Inc</t>
  </si>
  <si>
    <t>Bandwidth Inc</t>
  </si>
  <si>
    <t>Market  Cap ($M)</t>
  </si>
  <si>
    <t>EV ($M)</t>
  </si>
  <si>
    <t>FTM Revenue</t>
  </si>
  <si>
    <t>MRQ Revenue Growth</t>
  </si>
  <si>
    <t>FTM Revenue Growth</t>
  </si>
  <si>
    <t>CY25E Revenue Growth</t>
  </si>
  <si>
    <t>CY26E Revenue Growth</t>
  </si>
  <si>
    <t>CY25E Gross Margin (Non-GAAP)</t>
  </si>
  <si>
    <t>CY26E Gross Margin (Non-GAAP)</t>
  </si>
  <si>
    <t>CY25E Operating Margin (Non-GAAP)</t>
  </si>
  <si>
    <t>CY26E Operating Margin (Non-GAAP)</t>
  </si>
  <si>
    <t>FTM uFCF Margin</t>
  </si>
  <si>
    <t>NM</t>
  </si>
  <si>
    <t>FTM FCF SBC Adj. Margin</t>
  </si>
  <si>
    <t>CY25E uFCF Margin</t>
  </si>
  <si>
    <t>CY26E uFCF Margin</t>
  </si>
  <si>
    <t>Growth + FCF Margin (FTM)</t>
  </si>
  <si>
    <t>Growth + FCF (SBC Adj.)  Margin (FTM)</t>
  </si>
  <si>
    <t>EV/Rev (FTM)</t>
  </si>
  <si>
    <t>EV/Rev  (CY25E)</t>
  </si>
  <si>
    <t>EV/Rev  (CY26E)</t>
  </si>
  <si>
    <t>EV/Rev/g  (FTM)</t>
  </si>
  <si>
    <t>EV/uFCF (FTM)</t>
  </si>
  <si>
    <t>EV/uFCF (CY25E)</t>
  </si>
  <si>
    <t>EV/uFCF (CY26E)</t>
  </si>
  <si>
    <t>EV/uFCF/g (FTM)</t>
  </si>
  <si>
    <t>Vertical  Vs Horizontal</t>
  </si>
  <si>
    <t>Horizontal</t>
  </si>
  <si>
    <t>Vertical</t>
  </si>
  <si>
    <t>-</t>
  </si>
  <si>
    <t>App or Infra</t>
  </si>
  <si>
    <t>Application</t>
  </si>
  <si>
    <t>Infrastructure</t>
  </si>
  <si>
    <t>Metric</t>
  </si>
  <si>
    <t>Min</t>
  </si>
  <si>
    <t>Max</t>
  </si>
  <si>
    <t>Col #</t>
  </si>
  <si>
    <t>EV/Rev (CY26E)</t>
  </si>
  <si>
    <t>Market Cap ($M)</t>
  </si>
  <si>
    <t>Average</t>
  </si>
  <si>
    <t>Median</t>
  </si>
  <si>
    <t>Coverage</t>
  </si>
  <si>
    <t>J.P. MORGAN SOFTWARE</t>
  </si>
  <si>
    <t>REVENUE GROWTH</t>
  </si>
  <si>
    <t>MARGINS</t>
  </si>
  <si>
    <t>MULTIPLES</t>
  </si>
  <si>
    <t>JPM Rating</t>
  </si>
  <si>
    <t>JPM PT</t>
  </si>
  <si>
    <t>Shares</t>
  </si>
  <si>
    <t>Market 
Cap ($M)</t>
  </si>
  <si>
    <t>Net-cash</t>
  </si>
  <si>
    <t>2025 Revenue</t>
  </si>
  <si>
    <t>2026 Revenue</t>
  </si>
  <si>
    <t>FTM FCF</t>
  </si>
  <si>
    <t>2025 FCF</t>
  </si>
  <si>
    <t>2026 FCF</t>
  </si>
  <si>
    <t>EV/Rev
(FTM)</t>
  </si>
  <si>
    <t>EV/Rev 
(CY25E)</t>
  </si>
  <si>
    <t>EV/Rev 
(CY26E)</t>
  </si>
  <si>
    <t>EV/Rev/g 
(FTM)</t>
  </si>
  <si>
    <t>EV/uFCF
(FTM)</t>
  </si>
  <si>
    <t>EV/uFCF/g
(FTM)</t>
  </si>
  <si>
    <t>OW</t>
  </si>
  <si>
    <t>N</t>
  </si>
  <si>
    <t>UW</t>
  </si>
  <si>
    <t>EV/uFCF (2026)</t>
  </si>
  <si>
    <t>Text</t>
  </si>
  <si>
    <t>S/w Category</t>
  </si>
  <si>
    <t>Horizontal or Vertical</t>
  </si>
  <si>
    <t>Gross Margin (2026)</t>
  </si>
  <si>
    <t>Comps</t>
  </si>
  <si>
    <t>Sub Category</t>
  </si>
  <si>
    <t>Observability</t>
  </si>
  <si>
    <t>Security</t>
  </si>
  <si>
    <t>Data Warehouse</t>
  </si>
  <si>
    <t>Collaboration</t>
  </si>
  <si>
    <t>Data</t>
  </si>
  <si>
    <t>Backup</t>
  </si>
  <si>
    <t>Developer Related</t>
  </si>
  <si>
    <t>Sub Sector</t>
  </si>
  <si>
    <t>CRM, Front-office</t>
  </si>
  <si>
    <t>Creative, Marketing</t>
  </si>
  <si>
    <t>ecommerce</t>
  </si>
  <si>
    <t>Marketing</t>
  </si>
  <si>
    <t>Design, Engineering</t>
  </si>
  <si>
    <t>Real Estate</t>
  </si>
  <si>
    <t>Website Hosting</t>
  </si>
  <si>
    <t>Communication</t>
  </si>
  <si>
    <t>Insurance</t>
  </si>
  <si>
    <t>HR, Finance, Back-office</t>
  </si>
  <si>
    <t>Payroll, HR, Back-office</t>
  </si>
  <si>
    <t>Supply Chain, Back-office</t>
  </si>
  <si>
    <t>Finance, Back-office</t>
  </si>
  <si>
    <t>Marketing, Front-office</t>
  </si>
  <si>
    <t>Marketing, CRM, Front-office</t>
  </si>
  <si>
    <t>CRM, Collaboration, Front-office, Back-office</t>
  </si>
  <si>
    <t>Workflow automation, ITSM, Back-office</t>
  </si>
  <si>
    <t>ITSM, Customer Support, Front-office, Back-office</t>
  </si>
  <si>
    <t>Customer Engagement, Experience</t>
  </si>
  <si>
    <t>Customer Engagement, Marketing, Front-office</t>
  </si>
  <si>
    <t>Customer Engagement,Marketing</t>
  </si>
  <si>
    <t>Consumption, Data</t>
  </si>
  <si>
    <t>Developer Related, Consumption</t>
  </si>
  <si>
    <t>Observability, Developer Related, Consumption</t>
  </si>
  <si>
    <t>Net-Cash</t>
  </si>
  <si>
    <t>2025 Revenue Est.</t>
  </si>
  <si>
    <t>2026 Revenue Est.</t>
  </si>
  <si>
    <t>Price</t>
  </si>
  <si>
    <t>EV</t>
  </si>
  <si>
    <t>Inc</t>
  </si>
  <si>
    <t>EV/2026 Rev</t>
  </si>
  <si>
    <t>CY26 Rev</t>
  </si>
  <si>
    <t>CY27 Rev</t>
  </si>
  <si>
    <t>y/y growth (%)</t>
  </si>
  <si>
    <t>y/y growth ($)</t>
  </si>
  <si>
    <t>EV/2025 Rev</t>
  </si>
  <si>
    <t>Price (9/15/25)</t>
  </si>
  <si>
    <t>LTM Revenue</t>
  </si>
  <si>
    <t>2024 Revenue</t>
  </si>
  <si>
    <t>2025 FCF Est.</t>
  </si>
  <si>
    <t>2026 FCF Est.</t>
  </si>
  <si>
    <t>FTM FCF Margin</t>
  </si>
  <si>
    <t>CY25E FCF Margin</t>
  </si>
  <si>
    <t>CY26E FCF Margin</t>
  </si>
  <si>
    <t>CMRC</t>
  </si>
  <si>
    <t>FIG</t>
  </si>
  <si>
    <t>Figma</t>
  </si>
  <si>
    <t>FTM EBITDA</t>
  </si>
  <si>
    <t>EV/EBITDA (FTM)</t>
  </si>
  <si>
    <t>Cloud Or Hybrid</t>
  </si>
  <si>
    <t>Cloud</t>
  </si>
  <si>
    <t>Hybrid</t>
  </si>
  <si>
    <t>Cloud or Hybrid</t>
  </si>
  <si>
    <t>LTM Revenue Growth</t>
  </si>
  <si>
    <t>LTM FCF Margin</t>
  </si>
  <si>
    <t>Growth + FCF Margin (LTM)</t>
  </si>
  <si>
    <t>#N/A N/A</t>
  </si>
  <si>
    <t>data center</t>
  </si>
  <si>
    <t>Data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</si>
</sst>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\x"/>
    <numFmt numFmtId="165" formatCode="0.00\x"/>
    <numFmt numFmtId="166" formatCode="_(* #,##0_);_(* \(#,##0\);_(* &quot;-&quot;??_);_(@_)"/>
    <numFmt numFmtId="167" formatCode="0.0%"/>
    <numFmt numFmtId="168" formatCode="[$-409]mmm\-yy;@"/>
    <numFmt numFmtId="169" formatCode="&quot;$&quot;#,##0"/>
    <numFmt numFmtId="170" formatCode="&quot;$&quot;#,##0\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0"/>
      <name val="Arial"/>
      <family val="2"/>
    </font>
    <font>
      <b/>
      <sz val="12"/>
      <color theme="0"/>
      <name val="Arial"/>
      <family val="2"/>
    </font>
    <font>
      <b/>
      <i/>
      <sz val="10"/>
      <color theme="0"/>
      <name val="Arial"/>
      <family val="2"/>
    </font>
    <font>
      <i/>
      <sz val="8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8"/>
      <color rgb="FF0432FF"/>
      <name val="Arial"/>
      <family val="2"/>
    </font>
    <font>
      <sz val="8"/>
      <color rgb="FFC00000"/>
      <name val="Arial"/>
      <family val="2"/>
    </font>
    <font>
      <sz val="11"/>
      <color theme="0" tint="-0.249977111117893"/>
      <name val="Calibri"/>
      <family val="2"/>
      <scheme val="minor"/>
    </font>
    <font>
      <sz val="11"/>
      <color rgb="FF0432FF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u/>
      <sz val="11"/>
      <color theme="3"/>
      <name val="Calibri"/>
      <family val="2"/>
      <scheme val="minor"/>
    </font>
    <font>
      <b/>
      <sz val="8"/>
      <color rgb="FF0432FF"/>
      <name val="Arial"/>
      <family val="2"/>
    </font>
    <font>
      <sz val="10"/>
      <color rgb="FF0432FF"/>
      <name val="Arial"/>
      <family val="2"/>
    </font>
    <font>
      <sz val="10"/>
      <color rgb="FF00B050"/>
      <name val="Arial"/>
      <family val="2"/>
    </font>
    <font>
      <i/>
      <sz val="8"/>
      <color rgb="FFFF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C00000"/>
      <name val="Arial"/>
      <family val="2"/>
    </font>
    <font>
      <sz val="8"/>
      <color theme="0" tint="-0.149998474074526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9" fontId="3" fillId="0" borderId="0" xfId="2" applyFont="1" applyFill="1" applyAlignment="1">
      <alignment horizontal="right"/>
    </xf>
    <xf numFmtId="9" fontId="3" fillId="0" borderId="0" xfId="1" applyNumberFormat="1" applyFont="1" applyFill="1" applyAlignment="1">
      <alignment horizontal="right"/>
    </xf>
    <xf numFmtId="9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3" applyFont="1" applyAlignment="1">
      <alignment horizontal="center"/>
    </xf>
    <xf numFmtId="0" fontId="3" fillId="0" borderId="0" xfId="3"/>
    <xf numFmtId="0" fontId="7" fillId="2" borderId="0" xfId="3" applyFont="1" applyFill="1" applyAlignment="1">
      <alignment horizontal="left" vertical="center"/>
    </xf>
    <xf numFmtId="0" fontId="8" fillId="2" borderId="0" xfId="3" applyFont="1" applyFill="1" applyAlignment="1">
      <alignment horizontal="center"/>
    </xf>
    <xf numFmtId="0" fontId="9" fillId="0" borderId="0" xfId="3" applyFont="1" applyAlignment="1">
      <alignment horizontal="center"/>
    </xf>
    <xf numFmtId="0" fontId="2" fillId="0" borderId="4" xfId="3" applyFont="1" applyBorder="1" applyAlignment="1">
      <alignment vertical="center"/>
    </xf>
    <xf numFmtId="0" fontId="2" fillId="0" borderId="4" xfId="3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 wrapText="1"/>
    </xf>
    <xf numFmtId="0" fontId="10" fillId="0" borderId="0" xfId="3" applyFont="1" applyAlignment="1">
      <alignment horizontal="left"/>
    </xf>
    <xf numFmtId="0" fontId="11" fillId="0" borderId="0" xfId="3" applyFont="1"/>
    <xf numFmtId="0" fontId="10" fillId="0" borderId="0" xfId="3" applyFont="1" applyAlignment="1">
      <alignment horizontal="center"/>
    </xf>
    <xf numFmtId="8" fontId="10" fillId="0" borderId="0" xfId="4" applyNumberFormat="1" applyFont="1" applyFill="1" applyAlignment="1">
      <alignment horizontal="center"/>
    </xf>
    <xf numFmtId="4" fontId="11" fillId="0" borderId="0" xfId="3" applyNumberFormat="1" applyFont="1"/>
    <xf numFmtId="3" fontId="12" fillId="0" borderId="0" xfId="3" applyNumberFormat="1" applyFont="1"/>
    <xf numFmtId="166" fontId="10" fillId="0" borderId="0" xfId="4" applyNumberFormat="1" applyFont="1" applyFill="1" applyAlignment="1"/>
    <xf numFmtId="9" fontId="12" fillId="0" borderId="0" xfId="4" applyNumberFormat="1" applyFont="1" applyFill="1"/>
    <xf numFmtId="9" fontId="12" fillId="0" borderId="0" xfId="5" applyFont="1" applyFill="1" applyAlignment="1">
      <alignment horizontal="right"/>
    </xf>
    <xf numFmtId="9" fontId="12" fillId="0" borderId="0" xfId="3" applyNumberFormat="1" applyFont="1" applyAlignment="1">
      <alignment horizontal="right"/>
    </xf>
    <xf numFmtId="164" fontId="12" fillId="0" borderId="0" xfId="3" applyNumberFormat="1" applyFont="1" applyAlignment="1">
      <alignment horizontal="right"/>
    </xf>
    <xf numFmtId="0" fontId="12" fillId="0" borderId="0" xfId="3" applyFont="1" applyAlignment="1">
      <alignment horizontal="left"/>
    </xf>
    <xf numFmtId="0" fontId="12" fillId="0" borderId="0" xfId="3" applyFont="1"/>
    <xf numFmtId="0" fontId="12" fillId="0" borderId="0" xfId="3" applyFont="1" applyAlignment="1">
      <alignment horizontal="center"/>
    </xf>
    <xf numFmtId="8" fontId="12" fillId="0" borderId="0" xfId="4" applyNumberFormat="1" applyFont="1" applyFill="1" applyAlignment="1">
      <alignment horizontal="center"/>
    </xf>
    <xf numFmtId="4" fontId="13" fillId="0" borderId="0" xfId="3" applyNumberFormat="1" applyFont="1"/>
    <xf numFmtId="166" fontId="12" fillId="0" borderId="0" xfId="4" applyNumberFormat="1" applyFont="1" applyFill="1" applyAlignment="1">
      <alignment horizontal="right"/>
    </xf>
    <xf numFmtId="3" fontId="13" fillId="0" borderId="0" xfId="3" applyNumberFormat="1" applyFont="1"/>
    <xf numFmtId="166" fontId="13" fillId="0" borderId="0" xfId="4" applyNumberFormat="1" applyFont="1" applyFill="1" applyAlignment="1">
      <alignment horizontal="right"/>
    </xf>
    <xf numFmtId="9" fontId="13" fillId="0" borderId="0" xfId="5" applyFont="1" applyFill="1" applyAlignment="1">
      <alignment horizontal="right"/>
    </xf>
    <xf numFmtId="9" fontId="13" fillId="0" borderId="0" xfId="4" applyNumberFormat="1" applyFont="1" applyFill="1" applyAlignment="1">
      <alignment horizontal="right"/>
    </xf>
    <xf numFmtId="9" fontId="13" fillId="0" borderId="0" xfId="4" applyNumberFormat="1" applyFont="1" applyFill="1"/>
    <xf numFmtId="9" fontId="13" fillId="0" borderId="0" xfId="3" applyNumberFormat="1" applyFont="1" applyAlignment="1">
      <alignment horizontal="right"/>
    </xf>
    <xf numFmtId="165" fontId="12" fillId="0" borderId="0" xfId="3" applyNumberFormat="1" applyFont="1" applyAlignment="1">
      <alignment horizontal="right"/>
    </xf>
    <xf numFmtId="165" fontId="14" fillId="0" borderId="0" xfId="3" applyNumberFormat="1" applyFont="1" applyAlignment="1">
      <alignment horizontal="right"/>
    </xf>
    <xf numFmtId="9" fontId="12" fillId="0" borderId="0" xfId="4" applyNumberFormat="1" applyFont="1" applyFill="1" applyAlignment="1">
      <alignment horizontal="right"/>
    </xf>
    <xf numFmtId="0" fontId="10" fillId="3" borderId="0" xfId="3" applyFont="1" applyFill="1" applyAlignment="1">
      <alignment horizontal="left"/>
    </xf>
    <xf numFmtId="0" fontId="11" fillId="3" borderId="0" xfId="3" applyFont="1" applyFill="1"/>
    <xf numFmtId="0" fontId="10" fillId="3" borderId="0" xfId="3" applyFont="1" applyFill="1" applyAlignment="1">
      <alignment horizontal="center"/>
    </xf>
    <xf numFmtId="8" fontId="10" fillId="3" borderId="0" xfId="4" applyNumberFormat="1" applyFont="1" applyFill="1" applyAlignment="1">
      <alignment horizontal="right"/>
    </xf>
    <xf numFmtId="4" fontId="11" fillId="3" borderId="0" xfId="3" applyNumberFormat="1" applyFont="1" applyFill="1"/>
    <xf numFmtId="3" fontId="12" fillId="3" borderId="0" xfId="3" applyNumberFormat="1" applyFont="1" applyFill="1"/>
    <xf numFmtId="164" fontId="2" fillId="3" borderId="0" xfId="3" applyNumberFormat="1" applyFont="1" applyFill="1" applyAlignment="1">
      <alignment horizontal="right"/>
    </xf>
    <xf numFmtId="167" fontId="2" fillId="3" borderId="3" xfId="3" applyNumberFormat="1" applyFont="1" applyFill="1" applyBorder="1" applyAlignment="1">
      <alignment horizontal="right"/>
    </xf>
    <xf numFmtId="164" fontId="2" fillId="3" borderId="3" xfId="3" applyNumberFormat="1" applyFont="1" applyFill="1" applyBorder="1" applyAlignment="1">
      <alignment horizontal="right"/>
    </xf>
    <xf numFmtId="165" fontId="2" fillId="3" borderId="3" xfId="3" applyNumberFormat="1" applyFont="1" applyFill="1" applyBorder="1" applyAlignment="1">
      <alignment horizontal="right"/>
    </xf>
    <xf numFmtId="167" fontId="2" fillId="3" borderId="4" xfId="3" applyNumberFormat="1" applyFont="1" applyFill="1" applyBorder="1" applyAlignment="1">
      <alignment horizontal="right"/>
    </xf>
    <xf numFmtId="164" fontId="2" fillId="3" borderId="4" xfId="3" applyNumberFormat="1" applyFont="1" applyFill="1" applyBorder="1" applyAlignment="1">
      <alignment horizontal="right"/>
    </xf>
    <xf numFmtId="165" fontId="2" fillId="3" borderId="4" xfId="3" applyNumberFormat="1" applyFont="1" applyFill="1" applyBorder="1" applyAlignment="1">
      <alignment horizontal="right"/>
    </xf>
    <xf numFmtId="168" fontId="0" fillId="0" borderId="0" xfId="0" applyNumberFormat="1"/>
    <xf numFmtId="0" fontId="0" fillId="4" borderId="0" xfId="0" applyFill="1"/>
    <xf numFmtId="0" fontId="15" fillId="0" borderId="0" xfId="0" applyFont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9" fontId="3" fillId="0" borderId="5" xfId="1" applyNumberFormat="1" applyFont="1" applyFill="1" applyBorder="1" applyAlignment="1">
      <alignment horizontal="right"/>
    </xf>
    <xf numFmtId="9" fontId="3" fillId="0" borderId="5" xfId="0" applyNumberFormat="1" applyFont="1" applyBorder="1" applyAlignment="1">
      <alignment horizontal="right"/>
    </xf>
    <xf numFmtId="164" fontId="3" fillId="0" borderId="5" xfId="0" applyNumberFormat="1" applyFont="1" applyBorder="1" applyAlignment="1">
      <alignment horizontal="right"/>
    </xf>
    <xf numFmtId="9" fontId="3" fillId="0" borderId="0" xfId="1" applyNumberFormat="1" applyFont="1" applyFill="1" applyBorder="1" applyAlignment="1">
      <alignment horizontal="right"/>
    </xf>
    <xf numFmtId="2" fontId="3" fillId="0" borderId="0" xfId="0" applyNumberFormat="1" applyFont="1" applyAlignment="1">
      <alignment horizontal="left"/>
    </xf>
    <xf numFmtId="166" fontId="3" fillId="0" borderId="0" xfId="1" applyNumberFormat="1" applyFont="1" applyAlignment="1">
      <alignment horizontal="center"/>
    </xf>
    <xf numFmtId="166" fontId="3" fillId="0" borderId="0" xfId="1" applyNumberFormat="1" applyFont="1" applyFill="1" applyAlignment="1">
      <alignment horizontal="center"/>
    </xf>
    <xf numFmtId="166" fontId="3" fillId="0" borderId="5" xfId="1" applyNumberFormat="1" applyFont="1" applyBorder="1" applyAlignment="1">
      <alignment horizontal="center"/>
    </xf>
    <xf numFmtId="166" fontId="3" fillId="0" borderId="5" xfId="1" applyNumberFormat="1" applyFont="1" applyFill="1" applyBorder="1" applyAlignment="1">
      <alignment horizontal="center"/>
    </xf>
    <xf numFmtId="166" fontId="3" fillId="0" borderId="0" xfId="1" applyNumberFormat="1" applyFont="1" applyBorder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3" fontId="3" fillId="0" borderId="0" xfId="0" applyNumberFormat="1" applyFont="1"/>
    <xf numFmtId="3" fontId="3" fillId="0" borderId="5" xfId="0" applyNumberFormat="1" applyFont="1" applyBorder="1"/>
    <xf numFmtId="0" fontId="16" fillId="0" borderId="0" xfId="0" applyFont="1" applyAlignment="1">
      <alignment horizontal="center"/>
    </xf>
    <xf numFmtId="9" fontId="16" fillId="0" borderId="0" xfId="2" applyFont="1" applyAlignment="1">
      <alignment horizontal="center"/>
    </xf>
    <xf numFmtId="0" fontId="17" fillId="5" borderId="0" xfId="0" applyFont="1" applyFill="1"/>
    <xf numFmtId="0" fontId="17" fillId="5" borderId="0" xfId="0" applyFont="1" applyFill="1" applyAlignment="1">
      <alignment horizontal="center"/>
    </xf>
    <xf numFmtId="0" fontId="18" fillId="5" borderId="0" xfId="0" applyFont="1" applyFill="1" applyAlignment="1">
      <alignment horizontal="right"/>
    </xf>
    <xf numFmtId="0" fontId="19" fillId="0" borderId="4" xfId="3" applyFont="1" applyBorder="1" applyAlignment="1">
      <alignment horizontal="center" vertical="center" wrapText="1"/>
    </xf>
    <xf numFmtId="9" fontId="3" fillId="0" borderId="0" xfId="2" applyFont="1" applyAlignment="1">
      <alignment horizontal="right"/>
    </xf>
    <xf numFmtId="9" fontId="3" fillId="0" borderId="5" xfId="2" applyFont="1" applyBorder="1" applyAlignment="1">
      <alignment horizontal="right"/>
    </xf>
    <xf numFmtId="9" fontId="0" fillId="0" borderId="0" xfId="2" applyFont="1"/>
    <xf numFmtId="164" fontId="3" fillId="0" borderId="0" xfId="1" applyNumberFormat="1" applyFont="1" applyAlignment="1">
      <alignment horizontal="right"/>
    </xf>
    <xf numFmtId="164" fontId="0" fillId="0" borderId="0" xfId="0" applyNumberFormat="1"/>
    <xf numFmtId="43" fontId="0" fillId="0" borderId="0" xfId="1" applyFont="1"/>
    <xf numFmtId="43" fontId="5" fillId="0" borderId="0" xfId="1" applyFont="1"/>
    <xf numFmtId="43" fontId="5" fillId="0" borderId="6" xfId="1" applyFont="1" applyBorder="1"/>
    <xf numFmtId="9" fontId="21" fillId="0" borderId="0" xfId="1" applyNumberFormat="1" applyFont="1" applyFill="1" applyAlignment="1">
      <alignment horizontal="right"/>
    </xf>
    <xf numFmtId="9" fontId="21" fillId="0" borderId="0" xfId="0" applyNumberFormat="1" applyFont="1" applyAlignment="1">
      <alignment horizontal="right"/>
    </xf>
    <xf numFmtId="165" fontId="3" fillId="0" borderId="5" xfId="1" applyNumberFormat="1" applyFont="1" applyBorder="1" applyAlignment="1">
      <alignment horizontal="right"/>
    </xf>
    <xf numFmtId="165" fontId="3" fillId="0" borderId="0" xfId="1" applyNumberFormat="1" applyFont="1" applyBorder="1" applyAlignment="1">
      <alignment horizontal="right"/>
    </xf>
    <xf numFmtId="165" fontId="3" fillId="0" borderId="0" xfId="1" applyNumberFormat="1" applyFont="1" applyAlignment="1">
      <alignment horizontal="right"/>
    </xf>
    <xf numFmtId="0" fontId="11" fillId="0" borderId="0" xfId="3" applyFont="1" applyAlignment="1">
      <alignment horizontal="left"/>
    </xf>
    <xf numFmtId="0" fontId="11" fillId="0" borderId="0" xfId="3" applyFont="1" applyAlignment="1">
      <alignment horizontal="center"/>
    </xf>
    <xf numFmtId="8" fontId="11" fillId="0" borderId="0" xfId="4" applyNumberFormat="1" applyFont="1" applyFill="1" applyAlignment="1">
      <alignment horizontal="center"/>
    </xf>
    <xf numFmtId="166" fontId="11" fillId="0" borderId="0" xfId="4" applyNumberFormat="1" applyFont="1" applyFill="1" applyAlignment="1">
      <alignment horizontal="right"/>
    </xf>
    <xf numFmtId="3" fontId="11" fillId="0" borderId="0" xfId="3" applyNumberFormat="1" applyFont="1"/>
    <xf numFmtId="9" fontId="11" fillId="0" borderId="0" xfId="5" applyFont="1" applyFill="1" applyAlignment="1">
      <alignment horizontal="right"/>
    </xf>
    <xf numFmtId="9" fontId="11" fillId="0" borderId="0" xfId="4" applyNumberFormat="1" applyFont="1" applyFill="1" applyAlignment="1">
      <alignment horizontal="right"/>
    </xf>
    <xf numFmtId="9" fontId="11" fillId="0" borderId="0" xfId="4" applyNumberFormat="1" applyFont="1" applyFill="1"/>
    <xf numFmtId="9" fontId="11" fillId="0" borderId="0" xfId="3" applyNumberFormat="1" applyFont="1" applyAlignment="1">
      <alignment horizontal="right"/>
    </xf>
    <xf numFmtId="164" fontId="11" fillId="0" borderId="0" xfId="3" applyNumberFormat="1" applyFont="1" applyAlignment="1">
      <alignment horizontal="right"/>
    </xf>
    <xf numFmtId="165" fontId="11" fillId="0" borderId="0" xfId="3" applyNumberFormat="1" applyFont="1" applyAlignment="1">
      <alignment horizontal="right"/>
    </xf>
    <xf numFmtId="0" fontId="22" fillId="0" borderId="0" xfId="3" applyFont="1" applyAlignment="1">
      <alignment horizontal="center"/>
    </xf>
    <xf numFmtId="0" fontId="23" fillId="0" borderId="0" xfId="3" applyFont="1"/>
    <xf numFmtId="6" fontId="13" fillId="0" borderId="0" xfId="4" applyNumberFormat="1" applyFont="1" applyFill="1" applyAlignment="1">
      <alignment horizontal="center"/>
    </xf>
    <xf numFmtId="0" fontId="0" fillId="0" borderId="0" xfId="0" applyAlignment="1">
      <alignment horizontal="right"/>
    </xf>
    <xf numFmtId="169" fontId="0" fillId="0" borderId="0" xfId="0" applyNumberFormat="1"/>
    <xf numFmtId="169" fontId="16" fillId="0" borderId="0" xfId="0" applyNumberFormat="1" applyFont="1"/>
    <xf numFmtId="170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70" fontId="16" fillId="0" borderId="0" xfId="0" applyNumberFormat="1" applyFont="1" applyAlignment="1">
      <alignment horizontal="right"/>
    </xf>
    <xf numFmtId="169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164" fontId="24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6" fontId="3" fillId="0" borderId="0" xfId="1" applyNumberFormat="1" applyFont="1" applyFill="1" applyAlignment="1">
      <alignment horizontal="right"/>
    </xf>
    <xf numFmtId="4" fontId="3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8" fontId="3" fillId="0" borderId="0" xfId="1" applyNumberFormat="1" applyFont="1" applyFill="1" applyAlignment="1">
      <alignment horizontal="right"/>
    </xf>
    <xf numFmtId="6" fontId="26" fillId="0" borderId="0" xfId="1" applyNumberFormat="1" applyFont="1" applyFill="1" applyAlignment="1">
      <alignment horizontal="right"/>
    </xf>
    <xf numFmtId="1" fontId="20" fillId="0" borderId="0" xfId="0" applyNumberFormat="1" applyFont="1" applyAlignment="1">
      <alignment horizontal="right"/>
    </xf>
    <xf numFmtId="0" fontId="27" fillId="0" borderId="0" xfId="3" applyFont="1" applyAlignment="1">
      <alignment horizontal="center"/>
    </xf>
    <xf numFmtId="0" fontId="4" fillId="0" borderId="0" xfId="0" applyFont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20" fillId="0" borderId="0" xfId="0" applyFont="1" applyAlignment="1">
      <alignment horizontal="right"/>
    </xf>
    <xf numFmtId="0" fontId="2" fillId="0" borderId="2" xfId="3" applyFont="1" applyBorder="1" applyAlignment="1">
      <alignment horizontal="left"/>
    </xf>
    <xf numFmtId="0" fontId="2" fillId="0" borderId="3" xfId="3" applyFont="1" applyBorder="1" applyAlignment="1">
      <alignment horizontal="center"/>
    </xf>
  </cellXfs>
  <cellStyles count="6">
    <cellStyle name="Comma" xfId="1" builtinId="3"/>
    <cellStyle name="Comma 2" xfId="4" xr:uid="{85514324-F138-CA47-8CB9-94DFABD18167}"/>
    <cellStyle name="Normal" xfId="0" builtinId="0"/>
    <cellStyle name="Normal 2" xfId="3" xr:uid="{9F52D8E9-EA4A-2248-B488-A87613059000}"/>
    <cellStyle name="Percent" xfId="2" builtinId="5"/>
    <cellStyle name="Percent 2" xfId="5" xr:uid="{68B84C38-A272-1446-AA87-92680D180267}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BDP|1650984491562536224</stp>
        <tr r="B18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volatileDependencies" Target="volatileDependencies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H$\Client\Client\G$\Client\G$\Client\naeast.ad.jpmorganchase.com\amerib$\Enterprise%20Software%20-%20SMID%20Cap%20(Horizontal%20Apps%20and%20Infrastructure)\Comps\Treasury%20Method%20Calculation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CIQHiddenCacheSheet"/>
      <sheetName val="BASE"/>
      <sheetName val="DT"/>
      <sheetName val="MDLA"/>
      <sheetName val="WORK"/>
      <sheetName val="CRWD"/>
      <sheetName val="ZM"/>
      <sheetName val="PD"/>
      <sheetName val="TUFN"/>
      <sheetName val="PLAN"/>
      <sheetName val="AVLR"/>
      <sheetName val="APPN"/>
      <sheetName val="CBLK"/>
      <sheetName val="DOMO"/>
      <sheetName val="DOCU"/>
      <sheetName val="FSCT"/>
      <sheetName val="MDB"/>
      <sheetName val="NEWR"/>
      <sheetName val="OKTA"/>
      <sheetName val="PVTL"/>
      <sheetName val="PS"/>
      <sheetName val="SAIL"/>
      <sheetName val="TENB"/>
      <sheetName val="ZUO"/>
      <sheetName val="ZS"/>
    </sheetNames>
    <sheetDataSet>
      <sheetData sheetId="0" refreshError="1"/>
      <sheetData sheetId="1">
        <row r="6">
          <cell r="B6">
            <v>8.60398</v>
          </cell>
          <cell r="C6">
            <v>9.9</v>
          </cell>
          <cell r="H6">
            <v>0.10535</v>
          </cell>
          <cell r="I6">
            <v>7.48</v>
          </cell>
        </row>
      </sheetData>
      <sheetData sheetId="2"/>
      <sheetData sheetId="3" refreshError="1"/>
      <sheetData sheetId="4" refreshError="1"/>
      <sheetData sheetId="5">
        <row r="6">
          <cell r="B6">
            <v>3.9380000000000002</v>
          </cell>
          <cell r="C6">
            <v>8.48</v>
          </cell>
        </row>
      </sheetData>
      <sheetData sheetId="6">
        <row r="6">
          <cell r="B6">
            <v>5.5941099999999997</v>
          </cell>
          <cell r="C6">
            <v>8.1300000000000008</v>
          </cell>
        </row>
      </sheetData>
      <sheetData sheetId="7">
        <row r="6">
          <cell r="B6">
            <v>7.6162400000000003</v>
          </cell>
          <cell r="C6">
            <v>9.76</v>
          </cell>
        </row>
      </sheetData>
      <sheetData sheetId="8" refreshError="1"/>
      <sheetData sheetId="9">
        <row r="6">
          <cell r="B6">
            <v>4.4249999999999998</v>
          </cell>
          <cell r="C6">
            <v>12.2</v>
          </cell>
        </row>
      </sheetData>
      <sheetData sheetId="10">
        <row r="6">
          <cell r="B6">
            <v>2.1668799999999999</v>
          </cell>
          <cell r="C6">
            <v>33.979999999999997</v>
          </cell>
        </row>
      </sheetData>
      <sheetData sheetId="11">
        <row r="6">
          <cell r="B6">
            <v>2.1289400000000001</v>
          </cell>
          <cell r="C6">
            <v>9.52</v>
          </cell>
        </row>
      </sheetData>
      <sheetData sheetId="12">
        <row r="6">
          <cell r="B6">
            <v>13.25301</v>
          </cell>
          <cell r="C6">
            <v>7.06</v>
          </cell>
        </row>
      </sheetData>
      <sheetData sheetId="13">
        <row r="6">
          <cell r="B6">
            <v>0.96328999999999998</v>
          </cell>
          <cell r="C6">
            <v>26.16</v>
          </cell>
          <cell r="H6">
            <v>3.3300000000000001E-3</v>
          </cell>
          <cell r="I6">
            <v>34.35</v>
          </cell>
        </row>
      </sheetData>
      <sheetData sheetId="14">
        <row r="6">
          <cell r="B6">
            <v>2.9260000000000002</v>
          </cell>
          <cell r="C6">
            <v>16.739999999999998</v>
          </cell>
        </row>
      </sheetData>
      <sheetData sheetId="15" refreshError="1"/>
      <sheetData sheetId="16">
        <row r="6">
          <cell r="B6">
            <v>2.3563800000000001</v>
          </cell>
          <cell r="C6">
            <v>7.67</v>
          </cell>
        </row>
      </sheetData>
      <sheetData sheetId="17"/>
      <sheetData sheetId="18">
        <row r="6">
          <cell r="B6">
            <v>7.56935</v>
          </cell>
          <cell r="C6">
            <v>39.56</v>
          </cell>
          <cell r="H6">
            <v>1</v>
          </cell>
          <cell r="I6">
            <v>68.06</v>
          </cell>
        </row>
      </sheetData>
      <sheetData sheetId="19" refreshError="1"/>
      <sheetData sheetId="20" refreshError="1"/>
      <sheetData sheetId="21">
        <row r="6">
          <cell r="B6">
            <v>2.1480000000000001</v>
          </cell>
          <cell r="C6">
            <v>28.36</v>
          </cell>
        </row>
      </sheetData>
      <sheetData sheetId="22">
        <row r="6">
          <cell r="B6">
            <v>6.3810000000000002</v>
          </cell>
          <cell r="C6">
            <v>9.17</v>
          </cell>
        </row>
      </sheetData>
      <sheetData sheetId="23">
        <row r="6">
          <cell r="B6">
            <v>8.3610000000000007</v>
          </cell>
          <cell r="C6">
            <v>9.2200000000000006</v>
          </cell>
        </row>
      </sheetData>
      <sheetData sheetId="24">
        <row r="6">
          <cell r="B6">
            <v>2.597</v>
          </cell>
          <cell r="C6">
            <v>10.37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F2FC-467A-A242-A2D5-282AB9F22E7F}">
  <sheetPr>
    <pageSetUpPr fitToPage="1"/>
  </sheetPr>
  <dimension ref="A1:AM29"/>
  <sheetViews>
    <sheetView showOutlineSymbols="0" showWhiteSpace="0" workbookViewId="0"/>
  </sheetViews>
  <sheetFormatPr defaultColWidth="9.140625" defaultRowHeight="12.75" x14ac:dyDescent="0.2"/>
  <cols>
    <col min="1" max="1" width="7.7109375" style="29" customWidth="1"/>
    <col min="2" max="2" width="28.7109375" style="29" bestFit="1" customWidth="1"/>
    <col min="3" max="3" width="9.42578125" style="28" customWidth="1"/>
    <col min="4" max="4" width="9.42578125" style="29" customWidth="1"/>
    <col min="5" max="5" width="8.140625" style="29" bestFit="1" customWidth="1"/>
    <col min="6" max="6" width="8.140625" style="29" customWidth="1"/>
    <col min="7" max="15" width="8.42578125" style="29" customWidth="1"/>
    <col min="16" max="16" width="8.42578125" style="29" customWidth="1" collapsed="1"/>
    <col min="17" max="23" width="8.42578125" style="29" customWidth="1"/>
    <col min="24" max="29" width="9.42578125" style="29" customWidth="1"/>
    <col min="30" max="30" width="8.42578125" style="29" customWidth="1" collapsed="1"/>
    <col min="31" max="37" width="8.42578125" style="29" customWidth="1"/>
    <col min="38" max="38" width="1.42578125" style="29" customWidth="1"/>
    <col min="39" max="39" width="14.7109375" style="10" bestFit="1" customWidth="1"/>
    <col min="40" max="16384" width="9.140625" style="10"/>
  </cols>
  <sheetData>
    <row r="1" spans="1:39" ht="11.25" customHeight="1" x14ac:dyDescent="0.2">
      <c r="A1" s="9"/>
      <c r="B1" s="9"/>
      <c r="C1" s="126">
        <f>COLUMN()</f>
        <v>3</v>
      </c>
      <c r="D1" s="126">
        <f>COLUMN()</f>
        <v>4</v>
      </c>
      <c r="E1" s="126">
        <f>COLUMN()</f>
        <v>5</v>
      </c>
      <c r="F1" s="126">
        <f>COLUMN()</f>
        <v>6</v>
      </c>
      <c r="G1" s="126">
        <f>COLUMN()</f>
        <v>7</v>
      </c>
      <c r="H1" s="126">
        <f>COLUMN()</f>
        <v>8</v>
      </c>
      <c r="I1" s="126">
        <f>COLUMN()</f>
        <v>9</v>
      </c>
      <c r="J1" s="126">
        <f>COLUMN()</f>
        <v>10</v>
      </c>
      <c r="K1" s="126">
        <f>COLUMN()</f>
        <v>11</v>
      </c>
      <c r="L1" s="126">
        <f>COLUMN()</f>
        <v>12</v>
      </c>
      <c r="M1" s="126">
        <f>COLUMN()</f>
        <v>13</v>
      </c>
      <c r="N1" s="126">
        <f>COLUMN()</f>
        <v>14</v>
      </c>
      <c r="O1" s="126">
        <f>COLUMN()</f>
        <v>15</v>
      </c>
      <c r="P1" s="126">
        <f>COLUMN()</f>
        <v>16</v>
      </c>
      <c r="Q1" s="126">
        <f>COLUMN()</f>
        <v>17</v>
      </c>
      <c r="R1" s="126">
        <f>COLUMN()</f>
        <v>18</v>
      </c>
      <c r="S1" s="126">
        <f>COLUMN()</f>
        <v>19</v>
      </c>
      <c r="T1" s="126">
        <f>COLUMN()</f>
        <v>20</v>
      </c>
      <c r="U1" s="126">
        <f>COLUMN()</f>
        <v>21</v>
      </c>
      <c r="V1" s="126">
        <f>COLUMN()</f>
        <v>22</v>
      </c>
      <c r="W1" s="126">
        <f>COLUMN()</f>
        <v>23</v>
      </c>
      <c r="X1" s="126">
        <f>COLUMN()</f>
        <v>24</v>
      </c>
      <c r="Y1" s="126">
        <f>COLUMN()</f>
        <v>25</v>
      </c>
      <c r="Z1" s="126">
        <f>COLUMN()</f>
        <v>26</v>
      </c>
      <c r="AA1" s="126">
        <f>COLUMN()</f>
        <v>27</v>
      </c>
      <c r="AB1" s="126">
        <f>COLUMN()</f>
        <v>28</v>
      </c>
      <c r="AC1" s="126">
        <f>COLUMN()</f>
        <v>29</v>
      </c>
      <c r="AD1" s="126">
        <f>COLUMN()</f>
        <v>30</v>
      </c>
      <c r="AE1" s="126">
        <f>COLUMN()</f>
        <v>31</v>
      </c>
      <c r="AF1" s="126">
        <f>COLUMN()</f>
        <v>32</v>
      </c>
      <c r="AG1" s="126">
        <f>COLUMN()</f>
        <v>33</v>
      </c>
      <c r="AH1" s="126">
        <f>COLUMN()</f>
        <v>34</v>
      </c>
      <c r="AI1" s="126">
        <f>COLUMN()</f>
        <v>35</v>
      </c>
      <c r="AJ1" s="126">
        <f>COLUMN()</f>
        <v>36</v>
      </c>
      <c r="AK1" s="126">
        <f>COLUMN()</f>
        <v>37</v>
      </c>
      <c r="AL1" s="9"/>
    </row>
    <row r="2" spans="1:39" ht="21.75" customHeight="1" x14ac:dyDescent="0.2">
      <c r="A2" s="11" t="s">
        <v>303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0"/>
    </row>
    <row r="3" spans="1:39" ht="11.2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10"/>
      <c r="AM3" s="9"/>
    </row>
    <row r="4" spans="1:39" x14ac:dyDescent="0.2">
      <c r="A4" s="130" t="s">
        <v>304</v>
      </c>
      <c r="B4" s="130"/>
      <c r="C4" s="130"/>
      <c r="D4" s="130"/>
      <c r="E4" s="130"/>
      <c r="F4" s="130"/>
      <c r="G4" s="130"/>
      <c r="H4" s="130"/>
      <c r="I4" s="130"/>
      <c r="J4" s="131" t="s">
        <v>305</v>
      </c>
      <c r="K4" s="131"/>
      <c r="L4" s="131"/>
      <c r="M4" s="131"/>
      <c r="N4" s="131"/>
      <c r="O4" s="131"/>
      <c r="P4" s="131"/>
      <c r="Q4" s="131"/>
      <c r="R4" s="131"/>
      <c r="S4" s="131"/>
      <c r="T4" s="131" t="s">
        <v>306</v>
      </c>
      <c r="U4" s="131"/>
      <c r="V4" s="131"/>
      <c r="W4" s="131"/>
      <c r="X4" s="131"/>
      <c r="Y4" s="131"/>
      <c r="Z4" s="131"/>
      <c r="AA4" s="131"/>
      <c r="AB4" s="131"/>
      <c r="AC4" s="131"/>
      <c r="AD4" s="131" t="s">
        <v>307</v>
      </c>
      <c r="AE4" s="131"/>
      <c r="AF4" s="131"/>
      <c r="AG4" s="131"/>
      <c r="AH4" s="131"/>
      <c r="AI4" s="131"/>
      <c r="AJ4" s="131"/>
      <c r="AK4" s="131"/>
      <c r="AL4" s="10"/>
    </row>
    <row r="5" spans="1:39" ht="56.25" x14ac:dyDescent="0.2">
      <c r="A5" s="14" t="s">
        <v>0</v>
      </c>
      <c r="B5" s="14" t="s">
        <v>131</v>
      </c>
      <c r="C5" s="15" t="s">
        <v>308</v>
      </c>
      <c r="D5" s="15" t="s">
        <v>309</v>
      </c>
      <c r="E5" s="79" t="s">
        <v>378</v>
      </c>
      <c r="F5" s="15" t="s">
        <v>310</v>
      </c>
      <c r="G5" s="15" t="s">
        <v>311</v>
      </c>
      <c r="H5" s="15" t="s">
        <v>312</v>
      </c>
      <c r="I5" s="15" t="s">
        <v>263</v>
      </c>
      <c r="J5" s="16" t="s">
        <v>264</v>
      </c>
      <c r="K5" s="16" t="s">
        <v>313</v>
      </c>
      <c r="L5" s="16" t="s">
        <v>314</v>
      </c>
      <c r="M5" s="16" t="s">
        <v>315</v>
      </c>
      <c r="N5" s="16" t="s">
        <v>316</v>
      </c>
      <c r="O5" s="16" t="s">
        <v>317</v>
      </c>
      <c r="P5" s="16" t="s">
        <v>265</v>
      </c>
      <c r="Q5" s="16" t="s">
        <v>266</v>
      </c>
      <c r="R5" s="16" t="s">
        <v>267</v>
      </c>
      <c r="S5" s="16" t="s">
        <v>268</v>
      </c>
      <c r="T5" s="16" t="s">
        <v>269</v>
      </c>
      <c r="U5" s="16" t="s">
        <v>270</v>
      </c>
      <c r="V5" s="16" t="s">
        <v>271</v>
      </c>
      <c r="W5" s="16" t="s">
        <v>272</v>
      </c>
      <c r="X5" s="16" t="s">
        <v>273</v>
      </c>
      <c r="Y5" s="16" t="s">
        <v>275</v>
      </c>
      <c r="Z5" s="16" t="s">
        <v>276</v>
      </c>
      <c r="AA5" s="16" t="s">
        <v>277</v>
      </c>
      <c r="AB5" s="16" t="s">
        <v>278</v>
      </c>
      <c r="AC5" s="16" t="s">
        <v>279</v>
      </c>
      <c r="AD5" s="16" t="s">
        <v>318</v>
      </c>
      <c r="AE5" s="16" t="s">
        <v>319</v>
      </c>
      <c r="AF5" s="16" t="s">
        <v>320</v>
      </c>
      <c r="AG5" s="16" t="s">
        <v>321</v>
      </c>
      <c r="AH5" s="16" t="s">
        <v>322</v>
      </c>
      <c r="AI5" s="16" t="s">
        <v>285</v>
      </c>
      <c r="AJ5" s="16" t="s">
        <v>286</v>
      </c>
      <c r="AK5" s="16" t="s">
        <v>323</v>
      </c>
      <c r="AL5" s="10"/>
    </row>
    <row r="6" spans="1:39" ht="8.25" customHeight="1" x14ac:dyDescent="0.2">
      <c r="A6" s="17"/>
      <c r="B6" s="18"/>
      <c r="C6" s="19"/>
      <c r="D6" s="20"/>
      <c r="E6" s="21"/>
      <c r="F6" s="21"/>
      <c r="G6" s="22"/>
      <c r="H6" s="22"/>
      <c r="I6" s="22"/>
      <c r="J6" s="23"/>
      <c r="K6" s="23"/>
      <c r="L6" s="23"/>
      <c r="M6" s="23"/>
      <c r="N6" s="23"/>
      <c r="O6" s="23"/>
      <c r="P6" s="24"/>
      <c r="Q6" s="25"/>
      <c r="R6" s="25"/>
      <c r="S6" s="24"/>
      <c r="T6" s="24"/>
      <c r="U6" s="24"/>
      <c r="V6" s="24"/>
      <c r="W6" s="24"/>
      <c r="X6" s="26"/>
      <c r="Y6" s="26"/>
      <c r="Z6" s="26"/>
      <c r="AA6" s="26"/>
      <c r="AB6" s="26"/>
      <c r="AC6" s="26"/>
      <c r="AD6" s="27"/>
      <c r="AE6" s="27"/>
      <c r="AF6" s="27"/>
      <c r="AG6" s="27"/>
      <c r="AH6" s="27"/>
      <c r="AI6" s="27"/>
      <c r="AJ6" s="27"/>
      <c r="AK6" s="27"/>
      <c r="AL6" s="10"/>
    </row>
    <row r="7" spans="1:39" x14ac:dyDescent="0.2">
      <c r="A7" s="28" t="s">
        <v>97</v>
      </c>
      <c r="B7" s="29" t="s">
        <v>228</v>
      </c>
      <c r="C7" s="30" t="s">
        <v>324</v>
      </c>
      <c r="D7" s="31"/>
      <c r="E7" s="32">
        <v>78.209999999999994</v>
      </c>
      <c r="F7" s="32">
        <v>288.43799999999999</v>
      </c>
      <c r="G7" s="33">
        <f t="shared" ref="G7:G26" si="0">F7*E7</f>
        <v>22558.735979999998</v>
      </c>
      <c r="H7" s="34">
        <v>539.86800000000221</v>
      </c>
      <c r="I7" s="22">
        <f>G7-H7</f>
        <v>22018.867979999995</v>
      </c>
      <c r="J7" s="35">
        <v>2766.1336558572389</v>
      </c>
      <c r="K7" s="35">
        <v>2684.3283032355253</v>
      </c>
      <c r="L7" s="35">
        <v>3101.1174714485496</v>
      </c>
      <c r="M7" s="35">
        <v>683.18485684211623</v>
      </c>
      <c r="N7" s="35">
        <v>702.32059389885194</v>
      </c>
      <c r="O7" s="35">
        <v>828.03204448771567</v>
      </c>
      <c r="P7" s="36">
        <v>0.21809191024387276</v>
      </c>
      <c r="Q7" s="36">
        <v>0.13710433717224069</v>
      </c>
      <c r="R7" s="37">
        <v>0.15793346373684014</v>
      </c>
      <c r="S7" s="37">
        <v>0.15526758322022394</v>
      </c>
      <c r="T7" s="38">
        <v>0.8657431401234057</v>
      </c>
      <c r="U7" s="37">
        <v>0.86072585052461126</v>
      </c>
      <c r="V7" s="37">
        <v>0.19204432380938385</v>
      </c>
      <c r="W7" s="37">
        <v>0.21794599496323516</v>
      </c>
      <c r="X7" s="26">
        <f t="shared" ref="X7:X16" si="1">M7/J7</f>
        <v>0.24698186777615913</v>
      </c>
      <c r="Y7" s="39">
        <v>9.6462206834118089E-2</v>
      </c>
      <c r="Z7" s="26">
        <f t="shared" ref="Z7:Z16" si="2">N7/K7</f>
        <v>0.26163736866772874</v>
      </c>
      <c r="AA7" s="26">
        <f t="shared" ref="AA7:AA16" si="3">O7/L7</f>
        <v>0.26701086047570366</v>
      </c>
      <c r="AB7" s="26">
        <f t="shared" ref="AB7:AB9" si="4">X7+Q7</f>
        <v>0.38408620494839985</v>
      </c>
      <c r="AC7" s="26">
        <f t="shared" ref="AC7:AC9" si="5">Y7+Q7</f>
        <v>0.23356654400635879</v>
      </c>
      <c r="AD7" s="27">
        <f t="shared" ref="AD7:AD26" si="6">I7/J7</f>
        <v>7.9601605415470198</v>
      </c>
      <c r="AE7" s="27">
        <f t="shared" ref="AE7:AE26" si="7">I7/K7</f>
        <v>8.202747761315111</v>
      </c>
      <c r="AF7" s="27">
        <f t="shared" ref="AF7:AF26" si="8">I7/L7</f>
        <v>7.100301160057267</v>
      </c>
      <c r="AG7" s="40">
        <f>AD7/(Q7*100)</f>
        <v>0.5805914463192271</v>
      </c>
      <c r="AH7" s="27">
        <f t="shared" ref="AH7:AH26" si="9">IFERROR(I7/M7,"-")</f>
        <v>32.22973659249088</v>
      </c>
      <c r="AI7" s="27">
        <f t="shared" ref="AI7:AI26" si="10">IFERROR(I7/N7,"-")</f>
        <v>31.351590956154062</v>
      </c>
      <c r="AJ7" s="27">
        <f t="shared" ref="AJ7:AJ26" si="11">IFERROR(I7/O7,"-")</f>
        <v>26.591806593212901</v>
      </c>
      <c r="AK7" s="27">
        <f t="shared" ref="AK7:AK26" si="12">IFERROR(IF(AH7/(Q7*100)&lt;0,"-",AH7/(Q7*100)),"-")</f>
        <v>2.3507452249305203</v>
      </c>
      <c r="AL7" s="13"/>
    </row>
    <row r="8" spans="1:39" x14ac:dyDescent="0.2">
      <c r="A8" s="28" t="s">
        <v>99</v>
      </c>
      <c r="B8" s="29" t="s">
        <v>230</v>
      </c>
      <c r="C8" s="30" t="s">
        <v>324</v>
      </c>
      <c r="D8" s="31"/>
      <c r="E8" s="32">
        <v>86.76</v>
      </c>
      <c r="F8" s="32">
        <v>353.4</v>
      </c>
      <c r="G8" s="33">
        <f t="shared" si="0"/>
        <v>30660.984</v>
      </c>
      <c r="H8" s="34">
        <v>1479.0839999999989</v>
      </c>
      <c r="I8" s="22">
        <f t="shared" ref="I8:I26" si="13">G8-H8</f>
        <v>29181.9</v>
      </c>
      <c r="J8" s="35">
        <v>3612.3719999999998</v>
      </c>
      <c r="K8" s="35">
        <v>3517.2440000000001</v>
      </c>
      <c r="L8" s="35">
        <v>3944.1860000000006</v>
      </c>
      <c r="M8" s="35">
        <v>674.14700000000005</v>
      </c>
      <c r="N8" s="35">
        <v>614.29600000000005</v>
      </c>
      <c r="O8" s="35">
        <v>742.72900000000004</v>
      </c>
      <c r="P8" s="36">
        <v>0.123</v>
      </c>
      <c r="Q8" s="36">
        <v>0.11041599424561266</v>
      </c>
      <c r="R8" s="37">
        <v>0.11018368998574557</v>
      </c>
      <c r="S8" s="37">
        <v>0.12138538014422662</v>
      </c>
      <c r="T8" s="38">
        <v>0.7025392608530997</v>
      </c>
      <c r="U8" s="37">
        <v>0.70866231967762172</v>
      </c>
      <c r="V8" s="37">
        <v>0.16994925572408398</v>
      </c>
      <c r="W8" s="37">
        <v>0.18295688894996331</v>
      </c>
      <c r="X8" s="26">
        <f t="shared" si="1"/>
        <v>0.18662169898338268</v>
      </c>
      <c r="Y8" s="39">
        <v>5.4633908135706954E-2</v>
      </c>
      <c r="Z8" s="26">
        <f t="shared" si="2"/>
        <v>0.17465265418037532</v>
      </c>
      <c r="AA8" s="26">
        <f t="shared" si="3"/>
        <v>0.18830983123006875</v>
      </c>
      <c r="AB8" s="26">
        <f t="shared" si="4"/>
        <v>0.29703769322899531</v>
      </c>
      <c r="AC8" s="26">
        <f t="shared" si="5"/>
        <v>0.16504990238131961</v>
      </c>
      <c r="AD8" s="27">
        <f t="shared" si="6"/>
        <v>8.0783208373888407</v>
      </c>
      <c r="AE8" s="27">
        <f t="shared" si="7"/>
        <v>8.2968085239465896</v>
      </c>
      <c r="AF8" s="27">
        <f t="shared" si="8"/>
        <v>7.3987129410225574</v>
      </c>
      <c r="AG8" s="40">
        <f>AD8/(Q8*100)</f>
        <v>0.73162596529441026</v>
      </c>
      <c r="AH8" s="27">
        <f t="shared" si="9"/>
        <v>43.287146571890105</v>
      </c>
      <c r="AI8" s="27">
        <f t="shared" si="10"/>
        <v>47.504623178402596</v>
      </c>
      <c r="AJ8" s="27">
        <f t="shared" si="11"/>
        <v>39.290104466097326</v>
      </c>
      <c r="AK8" s="27">
        <f t="shared" si="12"/>
        <v>3.9203692243716861</v>
      </c>
      <c r="AL8" s="13"/>
    </row>
    <row r="9" spans="1:39" x14ac:dyDescent="0.2">
      <c r="A9" s="28" t="s">
        <v>103</v>
      </c>
      <c r="B9" s="29" t="s">
        <v>234</v>
      </c>
      <c r="C9" s="30" t="s">
        <v>324</v>
      </c>
      <c r="D9" s="106"/>
      <c r="E9" s="32">
        <v>48.61</v>
      </c>
      <c r="F9" s="32">
        <v>301</v>
      </c>
      <c r="G9" s="33">
        <f t="shared" si="0"/>
        <v>14631.61</v>
      </c>
      <c r="H9" s="34">
        <v>1346.4</v>
      </c>
      <c r="I9" s="22">
        <f t="shared" si="13"/>
        <v>13285.210000000001</v>
      </c>
      <c r="J9" s="35">
        <v>2047.1</v>
      </c>
      <c r="K9" s="35">
        <v>1910.9</v>
      </c>
      <c r="L9" s="35">
        <v>2186.4</v>
      </c>
      <c r="M9" s="35">
        <v>658.9</v>
      </c>
      <c r="N9" s="35">
        <v>486.1</v>
      </c>
      <c r="O9" s="35">
        <v>616.6</v>
      </c>
      <c r="P9" s="36">
        <v>0.19600000000000001</v>
      </c>
      <c r="Q9" s="36">
        <f>J9/1776.8-1</f>
        <v>0.15212742008104452</v>
      </c>
      <c r="R9" s="37">
        <v>0.16900000000000001</v>
      </c>
      <c r="S9" s="37">
        <v>0.14399999999999999</v>
      </c>
      <c r="T9" s="38">
        <v>0.84099999999999997</v>
      </c>
      <c r="U9" s="37">
        <v>0.84099999999999997</v>
      </c>
      <c r="V9" s="37">
        <v>0.28699999999999998</v>
      </c>
      <c r="W9" s="37">
        <v>0.28899999999999998</v>
      </c>
      <c r="X9" s="26">
        <f t="shared" si="1"/>
        <v>0.32186996238581406</v>
      </c>
      <c r="Y9" s="39">
        <f>X9-15%</f>
        <v>0.17186996238581406</v>
      </c>
      <c r="Z9" s="26">
        <f t="shared" si="2"/>
        <v>0.2543827515830237</v>
      </c>
      <c r="AA9" s="26">
        <f t="shared" si="3"/>
        <v>0.28201609952433221</v>
      </c>
      <c r="AB9" s="26">
        <f t="shared" si="4"/>
        <v>0.47399738246685857</v>
      </c>
      <c r="AC9" s="26">
        <f t="shared" si="5"/>
        <v>0.32399738246685861</v>
      </c>
      <c r="AD9" s="27">
        <f t="shared" si="6"/>
        <v>6.4897708954130238</v>
      </c>
      <c r="AE9" s="27">
        <f t="shared" si="7"/>
        <v>6.9523313621853582</v>
      </c>
      <c r="AF9" s="27">
        <f t="shared" si="8"/>
        <v>6.0762943651664836</v>
      </c>
      <c r="AG9" s="40">
        <f>AD9/(Q9*100)</f>
        <v>0.42660099618830427</v>
      </c>
      <c r="AH9" s="27">
        <f t="shared" si="9"/>
        <v>20.162710578236457</v>
      </c>
      <c r="AI9" s="27">
        <f t="shared" si="10"/>
        <v>27.330199547418228</v>
      </c>
      <c r="AJ9" s="27">
        <f t="shared" si="11"/>
        <v>21.545913071683426</v>
      </c>
      <c r="AK9" s="27">
        <f t="shared" si="12"/>
        <v>1.3253830616134128</v>
      </c>
      <c r="AL9" s="10"/>
    </row>
    <row r="10" spans="1:39" x14ac:dyDescent="0.2">
      <c r="A10" s="28" t="s">
        <v>26</v>
      </c>
      <c r="B10" s="29" t="s">
        <v>157</v>
      </c>
      <c r="C10" s="30" t="s">
        <v>324</v>
      </c>
      <c r="D10" s="106">
        <f>35*(1600*0.29/55)+32</f>
        <v>327.27272727272725</v>
      </c>
      <c r="E10" s="32">
        <v>193.49</v>
      </c>
      <c r="F10" s="32">
        <v>55</v>
      </c>
      <c r="G10" s="33">
        <f t="shared" si="0"/>
        <v>10641.95</v>
      </c>
      <c r="H10" s="34">
        <v>1650.6</v>
      </c>
      <c r="I10" s="22">
        <f t="shared" si="13"/>
        <v>8991.35</v>
      </c>
      <c r="J10" s="35">
        <v>1357.4870000000001</v>
      </c>
      <c r="K10" s="35">
        <v>1226.5999999999999</v>
      </c>
      <c r="L10" s="35">
        <v>1505.9</v>
      </c>
      <c r="M10" s="35">
        <v>356.5</v>
      </c>
      <c r="N10" s="35">
        <v>323.8</v>
      </c>
      <c r="O10" s="35">
        <v>439</v>
      </c>
      <c r="P10" s="36">
        <v>0.26600000000000001</v>
      </c>
      <c r="Q10" s="36">
        <f>J10/1100.2-1</f>
        <v>0.23385475368114883</v>
      </c>
      <c r="R10" s="37">
        <v>0.26200000000000001</v>
      </c>
      <c r="S10" s="37">
        <v>0.22800000000000001</v>
      </c>
      <c r="T10" s="38">
        <v>0.89900000000000002</v>
      </c>
      <c r="U10" s="37">
        <v>0.89500000000000002</v>
      </c>
      <c r="V10" s="37">
        <v>0.127</v>
      </c>
      <c r="W10" s="37">
        <v>0.14599999999999999</v>
      </c>
      <c r="X10" s="26">
        <f t="shared" si="1"/>
        <v>0.26261761622763236</v>
      </c>
      <c r="Y10" s="39">
        <f>X10-14%</f>
        <v>0.12261761622763234</v>
      </c>
      <c r="Z10" s="26">
        <f t="shared" si="2"/>
        <v>0.26398173813794229</v>
      </c>
      <c r="AA10" s="26">
        <f t="shared" si="3"/>
        <v>0.29152002124975096</v>
      </c>
      <c r="AB10" s="26">
        <f>X10+Q10</f>
        <v>0.49647236990878119</v>
      </c>
      <c r="AC10" s="26">
        <f>Y10+Q10</f>
        <v>0.35647236990878117</v>
      </c>
      <c r="AD10" s="27">
        <f t="shared" si="6"/>
        <v>6.6235256764889829</v>
      </c>
      <c r="AE10" s="27">
        <f t="shared" si="7"/>
        <v>7.3303032773520309</v>
      </c>
      <c r="AF10" s="27">
        <f t="shared" si="8"/>
        <v>5.9707483896673086</v>
      </c>
      <c r="AG10" s="40">
        <f>AD10/(Q10*100)</f>
        <v>0.28323245827706728</v>
      </c>
      <c r="AH10" s="27">
        <f t="shared" si="9"/>
        <v>25.221178120617111</v>
      </c>
      <c r="AI10" s="27">
        <f t="shared" si="10"/>
        <v>27.76822112415071</v>
      </c>
      <c r="AJ10" s="27">
        <f t="shared" si="11"/>
        <v>20.481435079726651</v>
      </c>
      <c r="AK10" s="27">
        <f t="shared" si="12"/>
        <v>1.0784975598573947</v>
      </c>
      <c r="AL10" s="10"/>
    </row>
    <row r="11" spans="1:39" x14ac:dyDescent="0.2">
      <c r="A11" s="28" t="s">
        <v>106</v>
      </c>
      <c r="B11" s="29" t="s">
        <v>237</v>
      </c>
      <c r="C11" s="30" t="s">
        <v>324</v>
      </c>
      <c r="D11" s="31"/>
      <c r="E11" s="32">
        <v>59.23</v>
      </c>
      <c r="F11" s="32">
        <v>94.534999999999997</v>
      </c>
      <c r="G11" s="33">
        <f t="shared" si="0"/>
        <v>5599.3080499999996</v>
      </c>
      <c r="H11" s="34">
        <v>371.73600000000079</v>
      </c>
      <c r="I11" s="22">
        <f t="shared" si="13"/>
        <v>5227.5720499999989</v>
      </c>
      <c r="J11" s="35">
        <v>1537.7355399999999</v>
      </c>
      <c r="K11" s="35">
        <v>1598.4996599999999</v>
      </c>
      <c r="L11" s="35">
        <v>1694.5821793999999</v>
      </c>
      <c r="M11" s="35">
        <v>362.64787863752798</v>
      </c>
      <c r="N11" s="35">
        <v>446.51801412388619</v>
      </c>
      <c r="O11" s="35">
        <v>498.11112466158545</v>
      </c>
      <c r="P11" s="36">
        <v>0.4406703680481725</v>
      </c>
      <c r="Q11" s="36">
        <v>-6.3878146866131025E-2</v>
      </c>
      <c r="R11" s="37">
        <v>6.7673666493006879E-2</v>
      </c>
      <c r="S11" s="37">
        <v>6.010793859036534E-2</v>
      </c>
      <c r="T11" s="38">
        <v>0.76416312031571121</v>
      </c>
      <c r="U11" s="37">
        <v>0.76468396314749876</v>
      </c>
      <c r="V11" s="37">
        <v>0.22069277915217295</v>
      </c>
      <c r="W11" s="37">
        <v>0.23504734912877914</v>
      </c>
      <c r="X11" s="26">
        <f t="shared" si="1"/>
        <v>0.23583241019293083</v>
      </c>
      <c r="Y11" s="39">
        <v>0.1421810662173601</v>
      </c>
      <c r="Z11" s="26">
        <f t="shared" si="2"/>
        <v>0.2793356954007023</v>
      </c>
      <c r="AA11" s="26">
        <f t="shared" si="3"/>
        <v>0.29394332757467773</v>
      </c>
      <c r="AB11" s="26">
        <f t="shared" ref="AB11:AB26" si="14">X11+Q11</f>
        <v>0.17195426332679981</v>
      </c>
      <c r="AC11" s="26">
        <f t="shared" ref="AC11:AC26" si="15">Y11+Q11</f>
        <v>7.8302919351229072E-2</v>
      </c>
      <c r="AD11" s="27">
        <f t="shared" si="6"/>
        <v>3.3995260654507597</v>
      </c>
      <c r="AE11" s="27">
        <f t="shared" si="7"/>
        <v>3.270299131624463</v>
      </c>
      <c r="AF11" s="27">
        <f t="shared" si="8"/>
        <v>3.0848737308514145</v>
      </c>
      <c r="AG11" s="41" t="s">
        <v>274</v>
      </c>
      <c r="AH11" s="27">
        <f t="shared" si="9"/>
        <v>14.415007940043779</v>
      </c>
      <c r="AI11" s="27">
        <f t="shared" si="10"/>
        <v>11.707415792075103</v>
      </c>
      <c r="AJ11" s="27">
        <f t="shared" si="11"/>
        <v>10.494790803059436</v>
      </c>
      <c r="AK11" s="27" t="str">
        <f t="shared" si="12"/>
        <v>-</v>
      </c>
      <c r="AL11" s="13"/>
    </row>
    <row r="12" spans="1:39" x14ac:dyDescent="0.2">
      <c r="A12" s="28" t="s">
        <v>107</v>
      </c>
      <c r="B12" s="29" t="s">
        <v>238</v>
      </c>
      <c r="C12" s="30" t="s">
        <v>324</v>
      </c>
      <c r="D12" s="31"/>
      <c r="E12" s="32">
        <v>88.31</v>
      </c>
      <c r="F12" s="32">
        <v>113.2</v>
      </c>
      <c r="G12" s="33">
        <f t="shared" si="0"/>
        <v>9996.6920000000009</v>
      </c>
      <c r="H12" s="34">
        <v>827.53100000000086</v>
      </c>
      <c r="I12" s="22">
        <f t="shared" si="13"/>
        <v>9169.1610000000001</v>
      </c>
      <c r="J12" s="35">
        <v>1662.1479999999999</v>
      </c>
      <c r="K12" s="35">
        <v>1618.8589999999999</v>
      </c>
      <c r="L12" s="35">
        <v>1803.9480000000001</v>
      </c>
      <c r="M12" s="35">
        <v>320.358</v>
      </c>
      <c r="N12" s="35">
        <v>297.09899999999999</v>
      </c>
      <c r="O12" s="35">
        <v>323.245</v>
      </c>
      <c r="P12" s="36">
        <v>0.16</v>
      </c>
      <c r="Q12" s="36">
        <v>0.12057741677992784</v>
      </c>
      <c r="R12" s="37">
        <v>0.13217769814310865</v>
      </c>
      <c r="S12" s="37">
        <v>0.1143329962646531</v>
      </c>
      <c r="T12" s="38">
        <v>0.77100785182650255</v>
      </c>
      <c r="U12" s="37">
        <v>0.77236483535002121</v>
      </c>
      <c r="V12" s="37">
        <v>0.15351738477532634</v>
      </c>
      <c r="W12" s="37">
        <v>0.17523176943016094</v>
      </c>
      <c r="X12" s="26">
        <f t="shared" si="1"/>
        <v>0.19273734950196975</v>
      </c>
      <c r="Y12" s="39">
        <v>-1.70201450171706E-3</v>
      </c>
      <c r="Z12" s="26">
        <f t="shared" si="2"/>
        <v>0.18352370404093254</v>
      </c>
      <c r="AA12" s="26">
        <f t="shared" si="3"/>
        <v>0.17918753755651493</v>
      </c>
      <c r="AB12" s="26">
        <f t="shared" si="14"/>
        <v>0.31331476628189758</v>
      </c>
      <c r="AC12" s="26">
        <f t="shared" si="15"/>
        <v>0.11887540227821078</v>
      </c>
      <c r="AD12" s="27">
        <f t="shared" si="6"/>
        <v>5.5164528068499319</v>
      </c>
      <c r="AE12" s="27">
        <f t="shared" si="7"/>
        <v>5.663965175472355</v>
      </c>
      <c r="AF12" s="27">
        <f t="shared" si="8"/>
        <v>5.082829992882278</v>
      </c>
      <c r="AG12" s="40">
        <f t="shared" ref="AG12:AG26" si="16">AD12/(Q12*100)</f>
        <v>0.45750298473538364</v>
      </c>
      <c r="AH12" s="27">
        <f t="shared" si="9"/>
        <v>28.621607701384075</v>
      </c>
      <c r="AI12" s="27">
        <f t="shared" si="10"/>
        <v>30.862308523421486</v>
      </c>
      <c r="AJ12" s="27">
        <f t="shared" si="11"/>
        <v>28.365979365496759</v>
      </c>
      <c r="AK12" s="27">
        <f t="shared" si="12"/>
        <v>2.3737121316525522</v>
      </c>
      <c r="AL12" s="13"/>
    </row>
    <row r="13" spans="1:39" s="105" customFormat="1" x14ac:dyDescent="0.2">
      <c r="A13" s="93" t="s">
        <v>108</v>
      </c>
      <c r="B13" s="18" t="s">
        <v>239</v>
      </c>
      <c r="C13" s="94" t="s">
        <v>324</v>
      </c>
      <c r="D13" s="95"/>
      <c r="E13" s="21">
        <v>19.75</v>
      </c>
      <c r="F13" s="21">
        <v>376.41459027621477</v>
      </c>
      <c r="G13" s="96">
        <f t="shared" si="0"/>
        <v>7434.1881579552419</v>
      </c>
      <c r="H13" s="97">
        <v>823.48300000000017</v>
      </c>
      <c r="I13" s="97">
        <f t="shared" si="13"/>
        <v>6610.7051579552417</v>
      </c>
      <c r="J13" s="96">
        <v>1189.33573</v>
      </c>
      <c r="K13" s="96">
        <v>1146.1172300000003</v>
      </c>
      <c r="L13" s="96">
        <v>1370.8528412000001</v>
      </c>
      <c r="M13" s="96">
        <v>145.82187204641173</v>
      </c>
      <c r="N13" s="96" t="s">
        <v>274</v>
      </c>
      <c r="O13" s="96">
        <v>146.20931686965116</v>
      </c>
      <c r="P13" s="98">
        <v>0.24803785727109107</v>
      </c>
      <c r="Q13" s="98">
        <v>0.1688516056116558</v>
      </c>
      <c r="R13" s="99">
        <v>0.18935998015860678</v>
      </c>
      <c r="S13" s="99">
        <v>0.19608431434191043</v>
      </c>
      <c r="T13" s="100">
        <v>0.78880630461335965</v>
      </c>
      <c r="U13" s="99">
        <v>0.7887060831602849</v>
      </c>
      <c r="V13" s="99">
        <v>5.981657653990613E-2</v>
      </c>
      <c r="W13" s="99">
        <v>9.0881300561993283E-2</v>
      </c>
      <c r="X13" s="26">
        <f t="shared" si="1"/>
        <v>0.122607829200937</v>
      </c>
      <c r="Y13" s="101">
        <v>-0.23212844455079834</v>
      </c>
      <c r="Z13" s="26"/>
      <c r="AA13" s="26">
        <f t="shared" si="3"/>
        <v>0.10665573464593346</v>
      </c>
      <c r="AB13" s="101">
        <f t="shared" si="14"/>
        <v>0.29145943481259279</v>
      </c>
      <c r="AC13" s="101">
        <f t="shared" si="15"/>
        <v>-6.3276838939142543E-2</v>
      </c>
      <c r="AD13" s="102">
        <f t="shared" si="6"/>
        <v>5.5583171271203984</v>
      </c>
      <c r="AE13" s="102">
        <f t="shared" si="7"/>
        <v>5.7679135998638111</v>
      </c>
      <c r="AF13" s="102">
        <f t="shared" si="8"/>
        <v>4.822330274465088</v>
      </c>
      <c r="AG13" s="103">
        <f t="shared" si="16"/>
        <v>0.3291835518522726</v>
      </c>
      <c r="AH13" s="102">
        <f t="shared" si="9"/>
        <v>45.334112538695209</v>
      </c>
      <c r="AI13" s="102" t="str">
        <f t="shared" si="10"/>
        <v>-</v>
      </c>
      <c r="AJ13" s="102">
        <f t="shared" si="11"/>
        <v>45.213980199694326</v>
      </c>
      <c r="AK13" s="102">
        <f t="shared" si="12"/>
        <v>2.6848493607434079</v>
      </c>
      <c r="AL13" s="104"/>
    </row>
    <row r="14" spans="1:39" x14ac:dyDescent="0.2">
      <c r="A14" s="28" t="s">
        <v>112</v>
      </c>
      <c r="B14" s="29" t="s">
        <v>243</v>
      </c>
      <c r="C14" s="30" t="s">
        <v>325</v>
      </c>
      <c r="D14" s="31"/>
      <c r="E14" s="32">
        <v>50.09</v>
      </c>
      <c r="F14" s="32">
        <v>168.2</v>
      </c>
      <c r="G14" s="33">
        <f t="shared" si="0"/>
        <v>8425.1380000000008</v>
      </c>
      <c r="H14" s="34">
        <v>1165</v>
      </c>
      <c r="I14" s="22">
        <f>G14-H14</f>
        <v>7260.1380000000008</v>
      </c>
      <c r="J14" s="35">
        <v>1024.2</v>
      </c>
      <c r="K14" s="35">
        <v>939.5</v>
      </c>
      <c r="L14" s="35">
        <v>1122.556</v>
      </c>
      <c r="M14" s="35">
        <v>224.3</v>
      </c>
      <c r="N14" s="35">
        <v>187.5</v>
      </c>
      <c r="O14" s="35">
        <v>249</v>
      </c>
      <c r="P14" s="36">
        <v>0.28999999999999998</v>
      </c>
      <c r="Q14" s="36">
        <v>0.19</v>
      </c>
      <c r="R14" s="37">
        <v>0.23699999999999999</v>
      </c>
      <c r="S14" s="37">
        <v>0.19500000000000001</v>
      </c>
      <c r="T14" s="38">
        <v>0.9</v>
      </c>
      <c r="U14" s="37">
        <v>0.90500000000000003</v>
      </c>
      <c r="V14" s="37">
        <v>0.14299999999999999</v>
      </c>
      <c r="W14" s="37">
        <v>0.159</v>
      </c>
      <c r="X14" s="26">
        <f t="shared" si="1"/>
        <v>0.21900019527436049</v>
      </c>
      <c r="Y14" s="39">
        <v>-0.03</v>
      </c>
      <c r="Z14" s="26">
        <f t="shared" si="2"/>
        <v>0.19957424161788184</v>
      </c>
      <c r="AA14" s="26">
        <f t="shared" si="3"/>
        <v>0.22181521456390593</v>
      </c>
      <c r="AB14" s="26">
        <f t="shared" si="14"/>
        <v>0.40900019527436049</v>
      </c>
      <c r="AC14" s="26">
        <f t="shared" si="15"/>
        <v>0.16</v>
      </c>
      <c r="AD14" s="27">
        <f t="shared" si="6"/>
        <v>7.0885940246045696</v>
      </c>
      <c r="AE14" s="27">
        <f t="shared" si="7"/>
        <v>7.7276615220862173</v>
      </c>
      <c r="AF14" s="27">
        <f t="shared" si="8"/>
        <v>6.4675062981267759</v>
      </c>
      <c r="AG14" s="40">
        <f t="shared" si="16"/>
        <v>0.37308389603181946</v>
      </c>
      <c r="AH14" s="27">
        <f t="shared" si="9"/>
        <v>32.367980383415073</v>
      </c>
      <c r="AI14" s="27">
        <f t="shared" si="10"/>
        <v>38.720736000000002</v>
      </c>
      <c r="AJ14" s="27">
        <f t="shared" si="11"/>
        <v>29.157180722891571</v>
      </c>
      <c r="AK14" s="27">
        <f t="shared" si="12"/>
        <v>1.7035779149165828</v>
      </c>
      <c r="AL14" s="13"/>
    </row>
    <row r="15" spans="1:39" x14ac:dyDescent="0.2">
      <c r="A15" s="28" t="s">
        <v>111</v>
      </c>
      <c r="B15" s="29" t="s">
        <v>242</v>
      </c>
      <c r="C15" s="30" t="s">
        <v>325</v>
      </c>
      <c r="D15" s="31"/>
      <c r="E15" s="32">
        <v>24.8</v>
      </c>
      <c r="F15" s="32">
        <v>317.6083694167105</v>
      </c>
      <c r="G15" s="33">
        <f t="shared" si="0"/>
        <v>7876.6875615344206</v>
      </c>
      <c r="H15" s="34">
        <v>-553.28800000000047</v>
      </c>
      <c r="I15" s="22">
        <f t="shared" si="13"/>
        <v>8429.975561534422</v>
      </c>
      <c r="J15" s="35">
        <v>1712.7378329999999</v>
      </c>
      <c r="K15" s="35">
        <v>1694.6843029999998</v>
      </c>
      <c r="L15" s="35">
        <v>1777.40090983</v>
      </c>
      <c r="M15" s="35">
        <v>614.50704467188689</v>
      </c>
      <c r="N15" s="35">
        <v>559.91499744372459</v>
      </c>
      <c r="O15" s="35">
        <v>617.70816446346032</v>
      </c>
      <c r="P15" s="36">
        <v>3.9345662841894224E-2</v>
      </c>
      <c r="Q15" s="36">
        <v>3.4694348725433422E-2</v>
      </c>
      <c r="R15" s="37">
        <v>3.3332745738156477E-2</v>
      </c>
      <c r="S15" s="37">
        <v>4.8809448865238192E-2</v>
      </c>
      <c r="T15" s="38">
        <v>0.81876883267502598</v>
      </c>
      <c r="U15" s="37">
        <v>0.83229770885032939</v>
      </c>
      <c r="V15" s="37">
        <v>0.32805473595278833</v>
      </c>
      <c r="W15" s="37">
        <v>0.34545566629472951</v>
      </c>
      <c r="X15" s="26">
        <f t="shared" si="1"/>
        <v>0.35878640200031531</v>
      </c>
      <c r="Y15" s="39">
        <v>0.16074149783312855</v>
      </c>
      <c r="Z15" s="26">
        <f t="shared" si="2"/>
        <v>0.33039486850296546</v>
      </c>
      <c r="AA15" s="26">
        <f t="shared" si="3"/>
        <v>0.34753451573429273</v>
      </c>
      <c r="AB15" s="26">
        <f t="shared" si="14"/>
        <v>0.39348075072574873</v>
      </c>
      <c r="AC15" s="26">
        <f t="shared" si="15"/>
        <v>0.19543584655856197</v>
      </c>
      <c r="AD15" s="27">
        <f t="shared" si="6"/>
        <v>4.9219299060899662</v>
      </c>
      <c r="AE15" s="27">
        <f t="shared" si="7"/>
        <v>4.9743633941798677</v>
      </c>
      <c r="AF15" s="27">
        <f t="shared" si="8"/>
        <v>4.742866685232376</v>
      </c>
      <c r="AG15" s="40">
        <f t="shared" si="16"/>
        <v>1.4186546474878319</v>
      </c>
      <c r="AH15" s="27">
        <f t="shared" si="9"/>
        <v>13.718273264117855</v>
      </c>
      <c r="AI15" s="27">
        <f t="shared" si="10"/>
        <v>15.055813114528503</v>
      </c>
      <c r="AJ15" s="27">
        <f t="shared" si="11"/>
        <v>13.64718170571159</v>
      </c>
      <c r="AK15" s="27">
        <f t="shared" si="12"/>
        <v>3.9540368296527171</v>
      </c>
      <c r="AL15" s="13"/>
    </row>
    <row r="16" spans="1:39" x14ac:dyDescent="0.2">
      <c r="A16" s="28" t="s">
        <v>114</v>
      </c>
      <c r="B16" s="29" t="s">
        <v>245</v>
      </c>
      <c r="C16" s="30" t="s">
        <v>324</v>
      </c>
      <c r="D16" s="31"/>
      <c r="E16" s="32">
        <v>32.51</v>
      </c>
      <c r="F16" s="32">
        <v>168.26399999999998</v>
      </c>
      <c r="G16" s="33">
        <f t="shared" si="0"/>
        <v>5470.262639999999</v>
      </c>
      <c r="H16" s="34">
        <v>136.98300000000017</v>
      </c>
      <c r="I16" s="22">
        <f t="shared" si="13"/>
        <v>5333.2796399999988</v>
      </c>
      <c r="J16" s="35">
        <v>1197.5848720124227</v>
      </c>
      <c r="K16" s="35">
        <v>1167.5297063154908</v>
      </c>
      <c r="L16" s="35">
        <v>1238.1134666555022</v>
      </c>
      <c r="M16" s="35">
        <v>408.78593108709612</v>
      </c>
      <c r="N16" s="35">
        <v>376.56684505795198</v>
      </c>
      <c r="O16" s="35">
        <v>413.41864216104318</v>
      </c>
      <c r="P16" s="36">
        <v>4.3883049067097835E-2</v>
      </c>
      <c r="Q16" s="36">
        <v>8.6990146542593294E-2</v>
      </c>
      <c r="R16" s="37">
        <v>7.1000436934577582E-2</v>
      </c>
      <c r="S16" s="37">
        <v>6.045564404760273E-2</v>
      </c>
      <c r="T16" s="38">
        <v>0.81132113524615723</v>
      </c>
      <c r="U16" s="37">
        <v>0.81499999999999995</v>
      </c>
      <c r="V16" s="37">
        <v>0.27983493384125607</v>
      </c>
      <c r="W16" s="37">
        <v>0.29076952369660686</v>
      </c>
      <c r="X16" s="26">
        <f t="shared" si="1"/>
        <v>0.34134192961219684</v>
      </c>
      <c r="Y16" s="39">
        <v>0.15074082455946677</v>
      </c>
      <c r="Z16" s="26">
        <f t="shared" si="2"/>
        <v>0.32253298825802706</v>
      </c>
      <c r="AA16" s="26">
        <f t="shared" si="3"/>
        <v>0.33391014094839377</v>
      </c>
      <c r="AB16" s="26">
        <f t="shared" si="14"/>
        <v>0.42833207615479013</v>
      </c>
      <c r="AC16" s="26">
        <f t="shared" si="15"/>
        <v>0.23773097110206007</v>
      </c>
      <c r="AD16" s="27">
        <f t="shared" si="6"/>
        <v>4.4533625671456178</v>
      </c>
      <c r="AE16" s="27">
        <f t="shared" si="7"/>
        <v>4.568003375974774</v>
      </c>
      <c r="AF16" s="27">
        <f t="shared" si="8"/>
        <v>4.307585519125892</v>
      </c>
      <c r="AG16" s="40">
        <f t="shared" si="16"/>
        <v>0.51193873606881468</v>
      </c>
      <c r="AH16" s="27">
        <f t="shared" si="9"/>
        <v>13.046632074193591</v>
      </c>
      <c r="AI16" s="27">
        <f t="shared" si="10"/>
        <v>14.162902841802843</v>
      </c>
      <c r="AJ16" s="27">
        <f t="shared" si="11"/>
        <v>12.900433352791266</v>
      </c>
      <c r="AK16" s="27">
        <f t="shared" si="12"/>
        <v>1.4997827446819534</v>
      </c>
      <c r="AL16" s="13"/>
    </row>
    <row r="17" spans="1:38" x14ac:dyDescent="0.2">
      <c r="A17" s="28" t="s">
        <v>117</v>
      </c>
      <c r="B17" s="29" t="s">
        <v>248</v>
      </c>
      <c r="C17" s="30" t="s">
        <v>324</v>
      </c>
      <c r="D17" s="106">
        <f>27*1.8+5</f>
        <v>53.6</v>
      </c>
      <c r="E17" s="32">
        <v>49.36</v>
      </c>
      <c r="F17" s="32">
        <v>121</v>
      </c>
      <c r="G17" s="33">
        <f t="shared" si="0"/>
        <v>5972.5599999999995</v>
      </c>
      <c r="H17" s="34">
        <v>705.6</v>
      </c>
      <c r="I17" s="22">
        <f t="shared" si="13"/>
        <v>5266.9599999999991</v>
      </c>
      <c r="J17" s="35">
        <v>551.85299999999995</v>
      </c>
      <c r="K17" s="35">
        <v>508.6</v>
      </c>
      <c r="L17" s="35">
        <v>601.1</v>
      </c>
      <c r="M17" s="35">
        <v>93.9</v>
      </c>
      <c r="N17" s="35">
        <v>103.1</v>
      </c>
      <c r="O17" s="35">
        <v>156</v>
      </c>
      <c r="P17" s="36">
        <v>0.23499999999999999</v>
      </c>
      <c r="Q17" s="36">
        <f>J17/474.761-1</f>
        <v>0.16238065047465966</v>
      </c>
      <c r="R17" s="37">
        <v>0.187</v>
      </c>
      <c r="S17" s="37">
        <v>0.182</v>
      </c>
      <c r="T17" s="38">
        <v>0.82899999999999996</v>
      </c>
      <c r="U17" s="37">
        <v>0.82799999999999996</v>
      </c>
      <c r="V17" s="37">
        <v>0.151</v>
      </c>
      <c r="W17" s="37">
        <v>0.183</v>
      </c>
      <c r="X17" s="26">
        <f>M17/J17</f>
        <v>0.17015400840441208</v>
      </c>
      <c r="Y17" s="39">
        <f>X17-(150.9/J17)</f>
        <v>-0.10328837570874855</v>
      </c>
      <c r="Z17" s="26">
        <f>N17/K17</f>
        <v>0.20271333071175773</v>
      </c>
      <c r="AA17" s="26">
        <f>O17/L17</f>
        <v>0.25952420562302442</v>
      </c>
      <c r="AB17" s="26">
        <f t="shared" si="14"/>
        <v>0.33253465887907174</v>
      </c>
      <c r="AC17" s="26">
        <f t="shared" si="15"/>
        <v>5.9092274765911112E-2</v>
      </c>
      <c r="AD17" s="27">
        <f t="shared" si="6"/>
        <v>9.5441358477710541</v>
      </c>
      <c r="AE17" s="27">
        <f t="shared" si="7"/>
        <v>10.355800235941798</v>
      </c>
      <c r="AF17" s="27">
        <f t="shared" si="8"/>
        <v>8.7622026285143892</v>
      </c>
      <c r="AG17" s="40">
        <f t="shared" si="16"/>
        <v>0.58776312447772006</v>
      </c>
      <c r="AH17" s="27">
        <f t="shared" si="9"/>
        <v>56.091160809371658</v>
      </c>
      <c r="AI17" s="27">
        <f t="shared" si="10"/>
        <v>51.085935984481083</v>
      </c>
      <c r="AJ17" s="27">
        <f t="shared" si="11"/>
        <v>33.762564102564099</v>
      </c>
      <c r="AK17" s="27">
        <f t="shared" si="12"/>
        <v>3.4543007830926857</v>
      </c>
      <c r="AL17" s="10"/>
    </row>
    <row r="18" spans="1:38" x14ac:dyDescent="0.2">
      <c r="A18" s="28" t="s">
        <v>44</v>
      </c>
      <c r="B18" s="29" t="s">
        <v>175</v>
      </c>
      <c r="C18" s="30" t="s">
        <v>324</v>
      </c>
      <c r="D18" s="31"/>
      <c r="E18" s="32">
        <v>12.56</v>
      </c>
      <c r="F18" s="32">
        <v>320</v>
      </c>
      <c r="G18" s="33">
        <f t="shared" si="0"/>
        <v>4019.2000000000003</v>
      </c>
      <c r="H18" s="34">
        <v>926.2</v>
      </c>
      <c r="I18" s="22">
        <f t="shared" si="13"/>
        <v>3093</v>
      </c>
      <c r="J18" s="35">
        <v>878.03599999999994</v>
      </c>
      <c r="K18" s="35">
        <v>825.9</v>
      </c>
      <c r="L18" s="35">
        <v>933.28099999999995</v>
      </c>
      <c r="M18" s="35">
        <v>201.9</v>
      </c>
      <c r="N18" s="35">
        <v>215.13300000000001</v>
      </c>
      <c r="O18" s="35">
        <v>255.98</v>
      </c>
      <c r="P18" s="36">
        <v>0.17499999999999999</v>
      </c>
      <c r="Q18" s="36">
        <v>0.123</v>
      </c>
      <c r="R18" s="37">
        <v>0.14599999999999999</v>
      </c>
      <c r="S18" s="37">
        <v>0.13</v>
      </c>
      <c r="T18" s="38">
        <v>0.86099999999999999</v>
      </c>
      <c r="U18" s="37">
        <v>0.86</v>
      </c>
      <c r="V18" s="37">
        <v>0.188</v>
      </c>
      <c r="W18" s="37">
        <v>0.2</v>
      </c>
      <c r="X18" s="26">
        <f t="shared" ref="X18:X26" si="17">M18/J18</f>
        <v>0.22994501364408751</v>
      </c>
      <c r="Y18" s="39">
        <v>-0.03</v>
      </c>
      <c r="Z18" s="26">
        <f t="shared" ref="Z18:Z26" si="18">N18/K18</f>
        <v>0.26048310933527064</v>
      </c>
      <c r="AA18" s="26">
        <f t="shared" ref="AA18:AA26" si="19">O18/L18</f>
        <v>0.27427966496692852</v>
      </c>
      <c r="AB18" s="26">
        <f t="shared" si="14"/>
        <v>0.35294501364408748</v>
      </c>
      <c r="AC18" s="26">
        <f t="shared" si="15"/>
        <v>9.2999999999999999E-2</v>
      </c>
      <c r="AD18" s="27">
        <f t="shared" si="6"/>
        <v>3.5226346072370611</v>
      </c>
      <c r="AE18" s="27">
        <f t="shared" si="7"/>
        <v>3.7450054486015256</v>
      </c>
      <c r="AF18" s="27">
        <f t="shared" si="8"/>
        <v>3.314114398557348</v>
      </c>
      <c r="AG18" s="40">
        <f t="shared" si="16"/>
        <v>0.28639305749894806</v>
      </c>
      <c r="AH18" s="27">
        <f t="shared" si="9"/>
        <v>15.319465081723624</v>
      </c>
      <c r="AI18" s="27">
        <f t="shared" si="10"/>
        <v>14.377152738073656</v>
      </c>
      <c r="AJ18" s="27">
        <f t="shared" si="11"/>
        <v>12.082975232440035</v>
      </c>
      <c r="AK18" s="27">
        <f t="shared" si="12"/>
        <v>1.2454849659937905</v>
      </c>
      <c r="AL18" s="13"/>
    </row>
    <row r="19" spans="1:38" s="105" customFormat="1" x14ac:dyDescent="0.2">
      <c r="A19" s="93" t="s">
        <v>50</v>
      </c>
      <c r="B19" s="18" t="s">
        <v>181</v>
      </c>
      <c r="C19" s="94" t="s">
        <v>326</v>
      </c>
      <c r="D19" s="95"/>
      <c r="E19" s="21">
        <v>54.36</v>
      </c>
      <c r="F19" s="21">
        <v>66.277000000000001</v>
      </c>
      <c r="G19" s="96">
        <f t="shared" si="0"/>
        <v>3602.81772</v>
      </c>
      <c r="H19" s="97">
        <v>-27.028000000000247</v>
      </c>
      <c r="I19" s="97">
        <f>G19-H19</f>
        <v>3629.8457200000003</v>
      </c>
      <c r="J19" s="96">
        <v>712.72217499999988</v>
      </c>
      <c r="K19" s="96">
        <v>698.54528499999992</v>
      </c>
      <c r="L19" s="96">
        <v>757.99312165000003</v>
      </c>
      <c r="M19" s="96">
        <v>204.31839877498714</v>
      </c>
      <c r="N19" s="96">
        <v>192.35457707463326</v>
      </c>
      <c r="O19" s="96">
        <v>223.31045899334163</v>
      </c>
      <c r="P19" s="98">
        <v>6.0141876401140548E-2</v>
      </c>
      <c r="Q19" s="98">
        <v>7.5310384939182518E-2</v>
      </c>
      <c r="R19" s="99">
        <v>6.9197602764886623E-2</v>
      </c>
      <c r="S19" s="99">
        <v>8.5102337567134478E-2</v>
      </c>
      <c r="T19" s="100">
        <v>0.80033903660948758</v>
      </c>
      <c r="U19" s="99">
        <v>0.80499999999999994</v>
      </c>
      <c r="V19" s="99">
        <v>0.22031589472255894</v>
      </c>
      <c r="W19" s="99">
        <v>0.24284679024145736</v>
      </c>
      <c r="X19" s="26">
        <f t="shared" si="17"/>
        <v>0.28667327317967506</v>
      </c>
      <c r="Y19" s="101">
        <v>0.14251909031031226</v>
      </c>
      <c r="Z19" s="26">
        <f t="shared" si="18"/>
        <v>0.27536450564494652</v>
      </c>
      <c r="AA19" s="26">
        <f t="shared" si="19"/>
        <v>0.29460750053673213</v>
      </c>
      <c r="AB19" s="101">
        <f t="shared" si="14"/>
        <v>0.36198365811885758</v>
      </c>
      <c r="AC19" s="101">
        <f t="shared" si="15"/>
        <v>0.21782947524949478</v>
      </c>
      <c r="AD19" s="102">
        <f t="shared" si="6"/>
        <v>5.0929322074200947</v>
      </c>
      <c r="AE19" s="102">
        <f t="shared" si="7"/>
        <v>5.1962926354874766</v>
      </c>
      <c r="AF19" s="102">
        <f t="shared" si="8"/>
        <v>4.7887581250058693</v>
      </c>
      <c r="AG19" s="103">
        <f t="shared" si="16"/>
        <v>0.67625895306907957</v>
      </c>
      <c r="AH19" s="102">
        <f t="shared" si="9"/>
        <v>17.765633157675126</v>
      </c>
      <c r="AI19" s="102">
        <f t="shared" si="10"/>
        <v>18.870597077560706</v>
      </c>
      <c r="AJ19" s="102">
        <f t="shared" si="11"/>
        <v>16.254705383540635</v>
      </c>
      <c r="AK19" s="102">
        <f t="shared" si="12"/>
        <v>2.3589884943519941</v>
      </c>
      <c r="AL19" s="104"/>
    </row>
    <row r="20" spans="1:38" x14ac:dyDescent="0.2">
      <c r="A20" s="28" t="s">
        <v>119</v>
      </c>
      <c r="B20" s="29" t="s">
        <v>250</v>
      </c>
      <c r="C20" s="30" t="s">
        <v>326</v>
      </c>
      <c r="D20" s="31"/>
      <c r="E20" s="32">
        <v>17.53</v>
      </c>
      <c r="F20" s="32">
        <v>167.71017897480453</v>
      </c>
      <c r="G20" s="33">
        <f t="shared" si="0"/>
        <v>2939.9594374283238</v>
      </c>
      <c r="H20" s="34">
        <v>742.6880000000001</v>
      </c>
      <c r="I20" s="22">
        <f t="shared" si="13"/>
        <v>2197.2714374283237</v>
      </c>
      <c r="J20" s="35">
        <v>466.32773499999996</v>
      </c>
      <c r="K20" s="35">
        <v>443.66548</v>
      </c>
      <c r="L20" s="35">
        <v>536.993696</v>
      </c>
      <c r="M20" s="35"/>
      <c r="N20" s="35"/>
      <c r="O20" s="35"/>
      <c r="P20" s="36">
        <v>0.25560688301189516</v>
      </c>
      <c r="Q20" s="36">
        <v>0.19861340012748796</v>
      </c>
      <c r="R20" s="37">
        <v>0.20915145684516911</v>
      </c>
      <c r="S20" s="37">
        <v>0.21035717270588639</v>
      </c>
      <c r="T20" s="38">
        <v>0.69320550924989699</v>
      </c>
      <c r="U20" s="37">
        <v>0.69801206389208714</v>
      </c>
      <c r="V20" s="37">
        <v>-0.23135035050506966</v>
      </c>
      <c r="W20" s="37">
        <v>-0.12486454458902931</v>
      </c>
      <c r="X20" s="26">
        <f t="shared" si="17"/>
        <v>0</v>
      </c>
      <c r="Y20" s="39">
        <v>-0.63197448507208465</v>
      </c>
      <c r="Z20" s="26">
        <f t="shared" si="18"/>
        <v>0</v>
      </c>
      <c r="AA20" s="26">
        <f t="shared" si="19"/>
        <v>0</v>
      </c>
      <c r="AB20" s="26">
        <f t="shared" si="14"/>
        <v>0.19861340012748796</v>
      </c>
      <c r="AC20" s="26">
        <f t="shared" si="15"/>
        <v>-0.43336108494459669</v>
      </c>
      <c r="AD20" s="27">
        <f t="shared" si="6"/>
        <v>4.7118609349459426</v>
      </c>
      <c r="AE20" s="27">
        <f t="shared" si="7"/>
        <v>4.9525409040800819</v>
      </c>
      <c r="AF20" s="27">
        <f t="shared" si="8"/>
        <v>4.0918011771749434</v>
      </c>
      <c r="AG20" s="40">
        <f t="shared" si="16"/>
        <v>0.23723781637701413</v>
      </c>
      <c r="AH20" s="27" t="str">
        <f t="shared" si="9"/>
        <v>-</v>
      </c>
      <c r="AI20" s="27" t="str">
        <f t="shared" si="10"/>
        <v>-</v>
      </c>
      <c r="AJ20" s="27" t="str">
        <f t="shared" si="11"/>
        <v>-</v>
      </c>
      <c r="AK20" s="27" t="str">
        <f t="shared" si="12"/>
        <v>-</v>
      </c>
      <c r="AL20" s="13"/>
    </row>
    <row r="21" spans="1:38" x14ac:dyDescent="0.2">
      <c r="A21" s="28" t="s">
        <v>52</v>
      </c>
      <c r="B21" s="29" t="s">
        <v>183</v>
      </c>
      <c r="C21" s="30" t="s">
        <v>326</v>
      </c>
      <c r="D21" s="31"/>
      <c r="E21" s="32">
        <v>13.4</v>
      </c>
      <c r="F21" s="32">
        <v>242.251</v>
      </c>
      <c r="G21" s="33">
        <f t="shared" si="0"/>
        <v>3246.1634000000004</v>
      </c>
      <c r="H21" s="34">
        <v>432.74900000000025</v>
      </c>
      <c r="I21" s="22">
        <f t="shared" si="13"/>
        <v>2813.4144000000001</v>
      </c>
      <c r="J21" s="35">
        <v>800.452</v>
      </c>
      <c r="K21" s="35">
        <v>782.66200000000003</v>
      </c>
      <c r="L21" s="35">
        <v>855.00300000000004</v>
      </c>
      <c r="M21" s="35">
        <v>61.978000000000002</v>
      </c>
      <c r="N21" s="35">
        <v>73.653999999999996</v>
      </c>
      <c r="O21" s="35">
        <v>145.30699999999999</v>
      </c>
      <c r="P21" s="36">
        <v>8.5999999999999993E-2</v>
      </c>
      <c r="Q21" s="36">
        <v>8.3602840143766954E-2</v>
      </c>
      <c r="R21" s="37">
        <v>8.1210041498820384E-2</v>
      </c>
      <c r="S21" s="37">
        <v>9.2429426751266863E-2</v>
      </c>
      <c r="T21" s="38">
        <v>0.89981243499748298</v>
      </c>
      <c r="U21" s="37">
        <v>0.89999918128942225</v>
      </c>
      <c r="V21" s="37">
        <v>5.5244792771336794E-2</v>
      </c>
      <c r="W21" s="37">
        <v>0.10849084740053544</v>
      </c>
      <c r="X21" s="26">
        <f t="shared" si="17"/>
        <v>7.7428752754693603E-2</v>
      </c>
      <c r="Y21" s="39">
        <v>-0.17883895598986574</v>
      </c>
      <c r="Z21" s="26">
        <f t="shared" si="18"/>
        <v>9.4107034709746989E-2</v>
      </c>
      <c r="AA21" s="26">
        <f t="shared" si="19"/>
        <v>0.16994911128966797</v>
      </c>
      <c r="AB21" s="26">
        <f t="shared" si="14"/>
        <v>0.16103159289846056</v>
      </c>
      <c r="AC21" s="26">
        <f t="shared" si="15"/>
        <v>-9.5236115846098784E-2</v>
      </c>
      <c r="AD21" s="27">
        <f t="shared" si="6"/>
        <v>3.5147821480863315</v>
      </c>
      <c r="AE21" s="27">
        <f t="shared" si="7"/>
        <v>3.5946735627895565</v>
      </c>
      <c r="AF21" s="27">
        <f t="shared" si="8"/>
        <v>3.2905316121697816</v>
      </c>
      <c r="AG21" s="40">
        <f t="shared" si="16"/>
        <v>0.42041420387658657</v>
      </c>
      <c r="AH21" s="27">
        <f t="shared" si="9"/>
        <v>45.393759075801093</v>
      </c>
      <c r="AI21" s="27">
        <f t="shared" si="10"/>
        <v>38.19771363401852</v>
      </c>
      <c r="AJ21" s="27">
        <f t="shared" si="11"/>
        <v>19.361864190988737</v>
      </c>
      <c r="AK21" s="27">
        <f t="shared" si="12"/>
        <v>5.4296910245800358</v>
      </c>
      <c r="AL21" s="13"/>
    </row>
    <row r="22" spans="1:38" x14ac:dyDescent="0.2">
      <c r="A22" s="28" t="s">
        <v>54</v>
      </c>
      <c r="B22" s="29" t="s">
        <v>185</v>
      </c>
      <c r="C22" s="30" t="s">
        <v>324</v>
      </c>
      <c r="D22" s="31"/>
      <c r="E22" s="32">
        <v>30.39</v>
      </c>
      <c r="F22" s="32">
        <v>112.97218896385017</v>
      </c>
      <c r="G22" s="33">
        <f t="shared" si="0"/>
        <v>3433.2248226114066</v>
      </c>
      <c r="H22" s="34">
        <v>539.29399999999987</v>
      </c>
      <c r="I22" s="22">
        <f t="shared" si="13"/>
        <v>2893.9308226114067</v>
      </c>
      <c r="J22" s="35">
        <v>732.53274499999998</v>
      </c>
      <c r="K22" s="35">
        <v>704.07802499999991</v>
      </c>
      <c r="L22" s="35">
        <v>814.82368200000008</v>
      </c>
      <c r="M22" s="35">
        <v>49.844795149234344</v>
      </c>
      <c r="N22" s="35">
        <v>46.923713231884506</v>
      </c>
      <c r="O22" s="35">
        <v>83.970688546859421</v>
      </c>
      <c r="P22" s="36">
        <v>0.1963693811411571</v>
      </c>
      <c r="Q22" s="36">
        <v>0.18148537120369035</v>
      </c>
      <c r="R22" s="37">
        <v>0.18649504558399754</v>
      </c>
      <c r="S22" s="37">
        <v>0.15729173907962846</v>
      </c>
      <c r="T22" s="38">
        <v>0.6907361258008301</v>
      </c>
      <c r="U22" s="37">
        <v>0.70000000000000007</v>
      </c>
      <c r="V22" s="37">
        <v>1.07049838790948E-2</v>
      </c>
      <c r="W22" s="37">
        <v>4.959741739935361E-2</v>
      </c>
      <c r="X22" s="26">
        <f t="shared" si="17"/>
        <v>6.8044460113840161E-2</v>
      </c>
      <c r="Y22" s="39">
        <v>-0.13195553988615985</v>
      </c>
      <c r="Z22" s="26">
        <f t="shared" si="18"/>
        <v>6.6645615351912893E-2</v>
      </c>
      <c r="AA22" s="26">
        <f t="shared" si="19"/>
        <v>0.10305381446542126</v>
      </c>
      <c r="AB22" s="26">
        <f t="shared" si="14"/>
        <v>0.24952983131753051</v>
      </c>
      <c r="AC22" s="26">
        <f t="shared" si="15"/>
        <v>4.9529831317530498E-2</v>
      </c>
      <c r="AD22" s="27">
        <f t="shared" si="6"/>
        <v>3.9505821990406815</v>
      </c>
      <c r="AE22" s="27">
        <f t="shared" si="7"/>
        <v>4.1102416491572891</v>
      </c>
      <c r="AF22" s="27">
        <f t="shared" si="8"/>
        <v>3.5516037230388284</v>
      </c>
      <c r="AG22" s="40">
        <f t="shared" si="16"/>
        <v>0.21768047599862692</v>
      </c>
      <c r="AH22" s="27">
        <f t="shared" si="9"/>
        <v>58.058836713984569</v>
      </c>
      <c r="AI22" s="27">
        <f t="shared" si="10"/>
        <v>61.673099234716794</v>
      </c>
      <c r="AJ22" s="27">
        <f t="shared" si="11"/>
        <v>34.463583337136306</v>
      </c>
      <c r="AK22" s="27">
        <f t="shared" si="12"/>
        <v>3.1990918237052921</v>
      </c>
      <c r="AL22" s="13"/>
    </row>
    <row r="23" spans="1:38" s="105" customFormat="1" x14ac:dyDescent="0.2">
      <c r="A23" s="93" t="s">
        <v>123</v>
      </c>
      <c r="B23" s="18" t="s">
        <v>254</v>
      </c>
      <c r="C23" s="94" t="s">
        <v>325</v>
      </c>
      <c r="D23" s="95"/>
      <c r="E23" s="21">
        <v>36.979999999999997</v>
      </c>
      <c r="F23" s="21">
        <v>98.501659883047338</v>
      </c>
      <c r="G23" s="96">
        <f t="shared" si="0"/>
        <v>3642.5913824750901</v>
      </c>
      <c r="H23" s="97">
        <v>-1126.8430000000003</v>
      </c>
      <c r="I23" s="97">
        <f t="shared" si="13"/>
        <v>4769.4343824750904</v>
      </c>
      <c r="J23" s="96">
        <v>905.33335999999997</v>
      </c>
      <c r="K23" s="96">
        <v>880.04899999999998</v>
      </c>
      <c r="L23" s="96">
        <v>985.65488000000005</v>
      </c>
      <c r="M23" s="96">
        <v>182.49640147106257</v>
      </c>
      <c r="N23" s="96">
        <v>160.79524041296074</v>
      </c>
      <c r="O23" s="96">
        <v>193.69188460427594</v>
      </c>
      <c r="P23" s="98">
        <v>0.14059979429437552</v>
      </c>
      <c r="Q23" s="98">
        <v>0.12242354213055484</v>
      </c>
      <c r="R23" s="99">
        <v>0.12737905369484315</v>
      </c>
      <c r="S23" s="99">
        <v>0.12000000000000011</v>
      </c>
      <c r="T23" s="100">
        <v>0.61873510736334003</v>
      </c>
      <c r="U23" s="99">
        <v>0.61526367575765006</v>
      </c>
      <c r="V23" s="99">
        <v>0.25909288761421245</v>
      </c>
      <c r="W23" s="99">
        <v>0.2629738930426716</v>
      </c>
      <c r="X23" s="26">
        <f t="shared" si="17"/>
        <v>0.20157922985524646</v>
      </c>
      <c r="Y23" s="101">
        <v>0.10060404873522233</v>
      </c>
      <c r="Z23" s="26">
        <f t="shared" si="18"/>
        <v>0.18271169038651341</v>
      </c>
      <c r="AA23" s="26">
        <f t="shared" si="19"/>
        <v>0.19651085642093705</v>
      </c>
      <c r="AB23" s="101">
        <f t="shared" si="14"/>
        <v>0.3240027719858013</v>
      </c>
      <c r="AC23" s="101">
        <f t="shared" si="15"/>
        <v>0.22302759086577717</v>
      </c>
      <c r="AD23" s="102">
        <f t="shared" si="6"/>
        <v>5.2681526973391222</v>
      </c>
      <c r="AE23" s="102">
        <f t="shared" si="7"/>
        <v>5.4195100300950179</v>
      </c>
      <c r="AF23" s="102">
        <f t="shared" si="8"/>
        <v>4.8388482411562661</v>
      </c>
      <c r="AG23" s="103">
        <f t="shared" si="16"/>
        <v>0.430321865031569</v>
      </c>
      <c r="AH23" s="102">
        <f t="shared" si="9"/>
        <v>26.134402344538024</v>
      </c>
      <c r="AI23" s="102">
        <f t="shared" si="10"/>
        <v>29.66153954697937</v>
      </c>
      <c r="AJ23" s="102">
        <f t="shared" si="11"/>
        <v>24.623821448272491</v>
      </c>
      <c r="AK23" s="102">
        <f t="shared" si="12"/>
        <v>2.1347529968270145</v>
      </c>
      <c r="AL23" s="104"/>
    </row>
    <row r="24" spans="1:38" x14ac:dyDescent="0.2">
      <c r="A24" s="28" t="s">
        <v>61</v>
      </c>
      <c r="B24" s="29" t="s">
        <v>192</v>
      </c>
      <c r="C24" s="30" t="s">
        <v>325</v>
      </c>
      <c r="D24" s="31"/>
      <c r="E24" s="32">
        <v>7.8</v>
      </c>
      <c r="F24" s="32">
        <v>266.48630517711172</v>
      </c>
      <c r="G24" s="33">
        <f t="shared" si="0"/>
        <v>2078.5931803814715</v>
      </c>
      <c r="H24" s="34">
        <v>570.23399999999992</v>
      </c>
      <c r="I24" s="22">
        <f t="shared" si="13"/>
        <v>1508.3591803814716</v>
      </c>
      <c r="J24" s="35">
        <v>834.13558750000016</v>
      </c>
      <c r="K24" s="35">
        <v>826.34304750000013</v>
      </c>
      <c r="L24" s="35">
        <v>859.58257345000015</v>
      </c>
      <c r="M24" s="35">
        <v>111.10877316658183</v>
      </c>
      <c r="N24" s="35">
        <v>131.13194168398354</v>
      </c>
      <c r="O24" s="35">
        <v>148.55137707222249</v>
      </c>
      <c r="P24" s="36">
        <v>4.8694107921085195E-2</v>
      </c>
      <c r="Q24" s="36">
        <v>3.4989859616644692E-2</v>
      </c>
      <c r="R24" s="37">
        <v>3.7605817597822444E-2</v>
      </c>
      <c r="S24" s="37">
        <v>4.0224850987204519E-2</v>
      </c>
      <c r="T24" s="38">
        <v>0.6900251090029289</v>
      </c>
      <c r="U24" s="37">
        <v>0.68236929195565921</v>
      </c>
      <c r="V24" s="37">
        <v>0.1579182576622333</v>
      </c>
      <c r="W24" s="37">
        <v>0.16986082345607362</v>
      </c>
      <c r="X24" s="26">
        <f t="shared" si="17"/>
        <v>0.13320229328614014</v>
      </c>
      <c r="Y24" s="39">
        <v>6.3202882069315638E-2</v>
      </c>
      <c r="Z24" s="26">
        <f t="shared" si="18"/>
        <v>0.15868947174022605</v>
      </c>
      <c r="AA24" s="26">
        <f t="shared" si="19"/>
        <v>0.17281804175717549</v>
      </c>
      <c r="AB24" s="26">
        <f t="shared" si="14"/>
        <v>0.16819215290278483</v>
      </c>
      <c r="AC24" s="26">
        <f t="shared" si="15"/>
        <v>9.819274168596033E-2</v>
      </c>
      <c r="AD24" s="27">
        <f t="shared" si="6"/>
        <v>1.8082901664730511</v>
      </c>
      <c r="AE24" s="27">
        <f t="shared" si="7"/>
        <v>1.825342616416787</v>
      </c>
      <c r="AF24" s="27">
        <f t="shared" si="8"/>
        <v>1.7547577475047651</v>
      </c>
      <c r="AG24" s="40">
        <f t="shared" si="16"/>
        <v>0.51680406445896299</v>
      </c>
      <c r="AH24" s="27">
        <f t="shared" si="9"/>
        <v>13.575518272711346</v>
      </c>
      <c r="AI24" s="27">
        <f t="shared" si="10"/>
        <v>11.50260692407411</v>
      </c>
      <c r="AJ24" s="27">
        <f t="shared" si="11"/>
        <v>10.153787935928319</v>
      </c>
      <c r="AK24" s="27">
        <f t="shared" si="12"/>
        <v>3.8798435951007546</v>
      </c>
      <c r="AL24" s="13"/>
    </row>
    <row r="25" spans="1:38" x14ac:dyDescent="0.2">
      <c r="A25" s="28" t="s">
        <v>122</v>
      </c>
      <c r="B25" s="29" t="s">
        <v>253</v>
      </c>
      <c r="C25" s="30" t="s">
        <v>324</v>
      </c>
      <c r="D25" s="31"/>
      <c r="E25" s="32">
        <v>41.43</v>
      </c>
      <c r="F25" s="32">
        <v>44.155999999999999</v>
      </c>
      <c r="G25" s="33">
        <f t="shared" si="0"/>
        <v>1829.3830799999998</v>
      </c>
      <c r="H25" s="34">
        <v>-1356</v>
      </c>
      <c r="I25" s="22">
        <f>G25-H25</f>
        <v>3185.3830799999996</v>
      </c>
      <c r="J25" s="35">
        <f>240.1+251.8+243.7+240.8</f>
        <v>976.39999999999986</v>
      </c>
      <c r="K25" s="35">
        <v>967.2</v>
      </c>
      <c r="L25" s="35">
        <v>984.2</v>
      </c>
      <c r="M25" s="35"/>
      <c r="N25" s="35"/>
      <c r="O25" s="35"/>
      <c r="P25" s="36"/>
      <c r="Q25" s="36"/>
      <c r="R25" s="37"/>
      <c r="S25" s="37"/>
      <c r="T25" s="38"/>
      <c r="U25" s="37"/>
      <c r="V25" s="37"/>
      <c r="W25" s="37"/>
      <c r="X25" s="26">
        <f t="shared" si="17"/>
        <v>0</v>
      </c>
      <c r="Y25" s="39"/>
      <c r="Z25" s="26">
        <f t="shared" si="18"/>
        <v>0</v>
      </c>
      <c r="AA25" s="26">
        <f t="shared" si="19"/>
        <v>0</v>
      </c>
      <c r="AB25" s="26">
        <f t="shared" si="14"/>
        <v>0</v>
      </c>
      <c r="AC25" s="26">
        <f t="shared" si="15"/>
        <v>0</v>
      </c>
      <c r="AD25" s="27">
        <f t="shared" si="6"/>
        <v>3.2623751331421551</v>
      </c>
      <c r="AE25" s="27">
        <f t="shared" si="7"/>
        <v>3.2934068238213392</v>
      </c>
      <c r="AF25" s="27">
        <f t="shared" si="8"/>
        <v>3.2365200975411494</v>
      </c>
      <c r="AG25" s="40" t="e">
        <f t="shared" si="16"/>
        <v>#DIV/0!</v>
      </c>
      <c r="AH25" s="27" t="str">
        <f t="shared" si="9"/>
        <v>-</v>
      </c>
      <c r="AI25" s="27" t="str">
        <f t="shared" si="10"/>
        <v>-</v>
      </c>
      <c r="AJ25" s="27" t="str">
        <f t="shared" si="11"/>
        <v>-</v>
      </c>
      <c r="AK25" s="27" t="str">
        <f t="shared" si="12"/>
        <v>-</v>
      </c>
      <c r="AL25" s="13"/>
    </row>
    <row r="26" spans="1:38" x14ac:dyDescent="0.2">
      <c r="A26" s="28" t="s">
        <v>128</v>
      </c>
      <c r="B26" s="29" t="s">
        <v>259</v>
      </c>
      <c r="C26" s="30" t="s">
        <v>326</v>
      </c>
      <c r="D26" s="31"/>
      <c r="E26" s="32">
        <v>15.98</v>
      </c>
      <c r="F26" s="32">
        <v>100.77718323354037</v>
      </c>
      <c r="G26" s="33">
        <f t="shared" si="0"/>
        <v>1610.4193880719752</v>
      </c>
      <c r="H26" s="34">
        <v>145.74800000000005</v>
      </c>
      <c r="I26" s="22">
        <f t="shared" si="13"/>
        <v>1464.6713880719751</v>
      </c>
      <c r="J26" s="35">
        <v>504.40632374999996</v>
      </c>
      <c r="K26" s="35">
        <v>496.01997374999996</v>
      </c>
      <c r="L26" s="35">
        <v>535.78174080000008</v>
      </c>
      <c r="M26" s="35">
        <v>134.50485601647063</v>
      </c>
      <c r="N26" s="35">
        <v>132.73582177408156</v>
      </c>
      <c r="O26" s="35">
        <v>151.16597245968987</v>
      </c>
      <c r="P26" s="36">
        <v>7.7654445363940505E-2</v>
      </c>
      <c r="Q26" s="36">
        <v>5.93833721531003E-2</v>
      </c>
      <c r="R26" s="37">
        <v>6.1007560978740161E-2</v>
      </c>
      <c r="S26" s="37">
        <v>8.0161624842229662E-2</v>
      </c>
      <c r="T26" s="38">
        <v>0.85620101010347671</v>
      </c>
      <c r="U26" s="37">
        <v>0.84999999999999987</v>
      </c>
      <c r="V26" s="37">
        <v>0.2050688260540032</v>
      </c>
      <c r="W26" s="37">
        <v>0.21965939510803684</v>
      </c>
      <c r="X26" s="26">
        <f t="shared" si="17"/>
        <v>0.26665973379654845</v>
      </c>
      <c r="Y26" s="39">
        <v>4.6561382977646747E-2</v>
      </c>
      <c r="Z26" s="26">
        <f t="shared" si="18"/>
        <v>0.26760176766789234</v>
      </c>
      <c r="AA26" s="26">
        <f t="shared" si="19"/>
        <v>0.28214095581901893</v>
      </c>
      <c r="AB26" s="26">
        <f t="shared" si="14"/>
        <v>0.32604310594964875</v>
      </c>
      <c r="AC26" s="26">
        <f t="shared" si="15"/>
        <v>0.10594475513074705</v>
      </c>
      <c r="AD26" s="27">
        <f t="shared" si="6"/>
        <v>2.9037530243136156</v>
      </c>
      <c r="AE26" s="27">
        <f t="shared" si="7"/>
        <v>2.9528475980489186</v>
      </c>
      <c r="AF26" s="27">
        <f t="shared" si="8"/>
        <v>2.7337090395895309</v>
      </c>
      <c r="AG26" s="40">
        <f t="shared" si="16"/>
        <v>0.48898419187567405</v>
      </c>
      <c r="AH26" s="27">
        <f t="shared" si="9"/>
        <v>10.889356945541213</v>
      </c>
      <c r="AI26" s="27">
        <f t="shared" si="10"/>
        <v>11.034484651512301</v>
      </c>
      <c r="AJ26" s="27">
        <f t="shared" si="11"/>
        <v>9.6891606241778145</v>
      </c>
      <c r="AK26" s="27">
        <f t="shared" si="12"/>
        <v>1.8337383935467024</v>
      </c>
      <c r="AL26" s="13"/>
    </row>
    <row r="27" spans="1:38" ht="8.25" customHeight="1" x14ac:dyDescent="0.2">
      <c r="A27" s="17"/>
      <c r="B27" s="18"/>
      <c r="C27" s="19"/>
      <c r="D27" s="20"/>
      <c r="E27" s="21"/>
      <c r="F27" s="21"/>
      <c r="G27" s="22"/>
      <c r="H27" s="22"/>
      <c r="I27" s="22"/>
      <c r="J27" s="23"/>
      <c r="K27" s="23"/>
      <c r="L27" s="23"/>
      <c r="M27" s="23"/>
      <c r="N27" s="23"/>
      <c r="O27" s="23"/>
      <c r="P27" s="24"/>
      <c r="Q27" s="25"/>
      <c r="R27" s="24"/>
      <c r="S27" s="24"/>
      <c r="T27" s="24"/>
      <c r="U27" s="42"/>
      <c r="V27" s="42"/>
      <c r="W27" s="42"/>
      <c r="X27" s="26"/>
      <c r="Y27" s="26"/>
      <c r="Z27" s="26"/>
      <c r="AA27" s="26"/>
      <c r="AB27" s="26"/>
      <c r="AC27" s="26"/>
      <c r="AD27" s="27"/>
      <c r="AE27" s="27"/>
      <c r="AF27" s="27"/>
      <c r="AG27" s="27"/>
      <c r="AH27" s="27"/>
      <c r="AI27" s="27"/>
      <c r="AJ27" s="27"/>
      <c r="AK27" s="27"/>
      <c r="AL27" s="10"/>
    </row>
    <row r="28" spans="1:38" x14ac:dyDescent="0.2">
      <c r="A28" s="43" t="s">
        <v>301</v>
      </c>
      <c r="B28" s="44"/>
      <c r="C28" s="45"/>
      <c r="D28" s="46"/>
      <c r="E28" s="47"/>
      <c r="F28" s="47"/>
      <c r="G28" s="48"/>
      <c r="H28" s="48"/>
      <c r="I28" s="48"/>
      <c r="J28" s="49"/>
      <c r="K28" s="49"/>
      <c r="L28" s="49"/>
      <c r="M28" s="49"/>
      <c r="N28" s="49"/>
      <c r="O28" s="49"/>
      <c r="P28" s="50">
        <f>AVERAGE(P7:P26)</f>
        <v>0.17368922818977484</v>
      </c>
      <c r="Q28" s="50">
        <f>AVERAGE(Q7:Q26)</f>
        <v>0.1164172261454007</v>
      </c>
      <c r="R28" s="50">
        <f>AVERAGE(R7:R26)</f>
        <v>0.13340569790285903</v>
      </c>
      <c r="S28" s="50">
        <f>AVERAGE(S7:S26)</f>
        <v>0.12742160302145109</v>
      </c>
      <c r="T28" s="50">
        <f t="shared" ref="T28:AC28" si="20">AVERAGE(T7:T26)</f>
        <v>0.79481073572530048</v>
      </c>
      <c r="U28" s="50">
        <f t="shared" si="20"/>
        <v>0.79589920913711476</v>
      </c>
      <c r="V28" s="50">
        <f t="shared" si="20"/>
        <v>0.15667922536806775</v>
      </c>
      <c r="W28" s="50">
        <f t="shared" si="20"/>
        <v>0.18125542710971407</v>
      </c>
      <c r="X28" s="50">
        <f t="shared" si="20"/>
        <v>0.19610420130951708</v>
      </c>
      <c r="Y28" s="50">
        <f t="shared" si="20"/>
        <v>-4.6185962854552844E-3</v>
      </c>
      <c r="Z28" s="50">
        <f t="shared" si="20"/>
        <v>0.19885960715462342</v>
      </c>
      <c r="AA28" s="50">
        <f t="shared" si="20"/>
        <v>0.21323937171912397</v>
      </c>
      <c r="AB28" s="50">
        <f t="shared" si="20"/>
        <v>0.30670056614764774</v>
      </c>
      <c r="AC28" s="50">
        <f t="shared" si="20"/>
        <v>0.10620869836694813</v>
      </c>
      <c r="AD28" s="51">
        <f t="shared" ref="AD28:AK28" si="21">AVERAGE(AD7:AD26)</f>
        <v>5.1834729706934111</v>
      </c>
      <c r="AE28" s="51">
        <f t="shared" si="21"/>
        <v>5.410002931422019</v>
      </c>
      <c r="AF28" s="51">
        <f t="shared" si="21"/>
        <v>4.7708448073425158</v>
      </c>
      <c r="AG28" s="52" t="e">
        <f t="shared" si="21"/>
        <v>#DIV/0!</v>
      </c>
      <c r="AH28" s="51">
        <f t="shared" si="21"/>
        <v>28.424028787023943</v>
      </c>
      <c r="AI28" s="51">
        <f t="shared" si="21"/>
        <v>28.286290639374705</v>
      </c>
      <c r="AJ28" s="51">
        <f t="shared" si="21"/>
        <v>22.671181534189653</v>
      </c>
      <c r="AK28" s="51">
        <f t="shared" si="21"/>
        <v>2.6133438899775592</v>
      </c>
      <c r="AL28" s="10"/>
    </row>
    <row r="29" spans="1:38" x14ac:dyDescent="0.2">
      <c r="A29" s="43" t="s">
        <v>302</v>
      </c>
      <c r="B29" s="44"/>
      <c r="C29" s="45"/>
      <c r="D29" s="46"/>
      <c r="E29" s="47"/>
      <c r="F29" s="47"/>
      <c r="G29" s="48"/>
      <c r="H29" s="48"/>
      <c r="I29" s="48"/>
      <c r="J29" s="49"/>
      <c r="K29" s="49"/>
      <c r="L29" s="49"/>
      <c r="M29" s="49"/>
      <c r="N29" s="49"/>
      <c r="O29" s="49"/>
      <c r="P29" s="53">
        <f>MEDIAN(P7:P26)</f>
        <v>0.17499999999999999</v>
      </c>
      <c r="Q29" s="53">
        <f>MEDIAN(Q7:Q26)</f>
        <v>0.12242354213055484</v>
      </c>
      <c r="R29" s="53">
        <f>MEDIAN(R7:R26)</f>
        <v>0.13217769814310865</v>
      </c>
      <c r="S29" s="53">
        <f>MEDIAN(S7:S26)</f>
        <v>0.12138538014422662</v>
      </c>
      <c r="T29" s="53">
        <f t="shared" ref="T29:AC29" si="22">MEDIAN(T7:T26)</f>
        <v>0.81132113524615723</v>
      </c>
      <c r="U29" s="53">
        <f t="shared" si="22"/>
        <v>0.81499999999999995</v>
      </c>
      <c r="V29" s="53">
        <f t="shared" si="22"/>
        <v>0.16994925572408398</v>
      </c>
      <c r="W29" s="53">
        <f t="shared" si="22"/>
        <v>0.183</v>
      </c>
      <c r="X29" s="53">
        <f t="shared" si="22"/>
        <v>0.21028971256480347</v>
      </c>
      <c r="Y29" s="53">
        <f t="shared" si="22"/>
        <v>5.4633908135706954E-2</v>
      </c>
      <c r="Z29" s="53">
        <f t="shared" si="22"/>
        <v>0.20271333071175773</v>
      </c>
      <c r="AA29" s="53">
        <f t="shared" si="22"/>
        <v>0.24066971009346516</v>
      </c>
      <c r="AB29" s="53">
        <f t="shared" si="22"/>
        <v>0.32502293896772505</v>
      </c>
      <c r="AC29" s="53">
        <f t="shared" si="22"/>
        <v>0.11241007870447892</v>
      </c>
      <c r="AD29" s="54">
        <f t="shared" ref="AD29:AK29" si="23">MEDIAN(AD7:AD26)</f>
        <v>5.0074310567550304</v>
      </c>
      <c r="AE29" s="54">
        <f t="shared" si="23"/>
        <v>5.0853280148336726</v>
      </c>
      <c r="AF29" s="54">
        <f t="shared" si="23"/>
        <v>4.7658124051191226</v>
      </c>
      <c r="AG29" s="55" t="e">
        <f t="shared" si="23"/>
        <v>#DIV/0!</v>
      </c>
      <c r="AH29" s="54">
        <f t="shared" si="23"/>
        <v>25.677790232577568</v>
      </c>
      <c r="AI29" s="54">
        <f t="shared" si="23"/>
        <v>27.76822112415071</v>
      </c>
      <c r="AJ29" s="54">
        <f t="shared" si="23"/>
        <v>21.01367407570504</v>
      </c>
      <c r="AK29" s="54">
        <f t="shared" si="23"/>
        <v>2.3589884943519941</v>
      </c>
      <c r="AL29" s="10"/>
    </row>
  </sheetData>
  <mergeCells count="4">
    <mergeCell ref="A4:I4"/>
    <mergeCell ref="J4:S4"/>
    <mergeCell ref="T4:AC4"/>
    <mergeCell ref="AD4:AK4"/>
  </mergeCells>
  <conditionalFormatting sqref="A7:AK26">
    <cfRule type="expression" dxfId="2" priority="1">
      <formula>MOD(ROW(),2)</formula>
    </cfRule>
  </conditionalFormatting>
  <pageMargins left="0.7" right="0.7" top="0.75" bottom="0.75" header="0.3" footer="0.3"/>
  <pageSetup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D313-90FB-D041-9804-D5C990D94609}">
  <dimension ref="B2:E18"/>
  <sheetViews>
    <sheetView showOutlineSymbols="0" showWhiteSpace="0" workbookViewId="0"/>
  </sheetViews>
  <sheetFormatPr defaultColWidth="11.42578125" defaultRowHeight="15" x14ac:dyDescent="0.25"/>
  <cols>
    <col min="3" max="3" width="10.85546875" style="107"/>
    <col min="4" max="4" width="12" style="107" bestFit="1" customWidth="1"/>
    <col min="5" max="5" width="10.85546875" style="107"/>
  </cols>
  <sheetData>
    <row r="2" spans="2:5" x14ac:dyDescent="0.25">
      <c r="B2" s="116" t="s">
        <v>54</v>
      </c>
      <c r="C2" s="116" t="s">
        <v>370</v>
      </c>
      <c r="D2" s="116" t="s">
        <v>377</v>
      </c>
      <c r="E2" s="116" t="s">
        <v>372</v>
      </c>
    </row>
    <row r="3" spans="2:5" x14ac:dyDescent="0.25">
      <c r="B3" s="108">
        <f>B4+C15</f>
        <v>44.26</v>
      </c>
      <c r="C3" s="110">
        <f>B3*C16+C17</f>
        <v>5223.3201999999992</v>
      </c>
      <c r="D3" s="111">
        <f>C3/E15</f>
        <v>7.1552331506849303</v>
      </c>
      <c r="E3" s="111">
        <f>C3/E16</f>
        <v>5.9763389016018298</v>
      </c>
    </row>
    <row r="4" spans="2:5" x14ac:dyDescent="0.25">
      <c r="B4" s="108">
        <f>B5+C15</f>
        <v>42.26</v>
      </c>
      <c r="C4" s="110">
        <f>B4*C16+C17</f>
        <v>5003.7801999999992</v>
      </c>
      <c r="D4" s="111">
        <f>C4/E15</f>
        <v>6.8544934246575329</v>
      </c>
      <c r="E4" s="111">
        <f>C4/E16</f>
        <v>5.7251489702517153</v>
      </c>
    </row>
    <row r="5" spans="2:5" x14ac:dyDescent="0.25">
      <c r="B5" s="108">
        <f>B6+C15</f>
        <v>40.26</v>
      </c>
      <c r="C5" s="110">
        <f>B5*C16+C17</f>
        <v>4784.2401999999993</v>
      </c>
      <c r="D5" s="111">
        <f>C5/E15</f>
        <v>6.5537536986301363</v>
      </c>
      <c r="E5" s="111">
        <f>C5/E16</f>
        <v>5.4739590389016008</v>
      </c>
    </row>
    <row r="6" spans="2:5" x14ac:dyDescent="0.25">
      <c r="B6" s="108">
        <f>B7+C15</f>
        <v>38.26</v>
      </c>
      <c r="C6" s="110">
        <f>B6*C16+C17</f>
        <v>4564.7001999999993</v>
      </c>
      <c r="D6" s="111">
        <f>C6/E15</f>
        <v>6.2530139726027389</v>
      </c>
      <c r="E6" s="111">
        <f>C6/E16</f>
        <v>5.2227691075514864</v>
      </c>
    </row>
    <row r="7" spans="2:5" x14ac:dyDescent="0.25">
      <c r="B7" s="108">
        <f>B8+C15</f>
        <v>36.26</v>
      </c>
      <c r="C7" s="110">
        <f>B7*C16+C17</f>
        <v>4345.1601999999993</v>
      </c>
      <c r="D7" s="111">
        <f>C7/E15</f>
        <v>5.9522742465753415</v>
      </c>
      <c r="E7" s="111">
        <f>C7/E16</f>
        <v>4.9715791762013719</v>
      </c>
    </row>
    <row r="8" spans="2:5" x14ac:dyDescent="0.25">
      <c r="B8" s="109">
        <v>34.26</v>
      </c>
      <c r="C8" s="110">
        <f>B8*C16+C17</f>
        <v>4125.6201999999994</v>
      </c>
      <c r="D8" s="115">
        <f>C8/E15</f>
        <v>5.6515345205479441</v>
      </c>
      <c r="E8" s="111">
        <f>C8/E16</f>
        <v>4.7203892448512574</v>
      </c>
    </row>
    <row r="9" spans="2:5" x14ac:dyDescent="0.25">
      <c r="B9" s="108">
        <f>B8-C15</f>
        <v>32.26</v>
      </c>
      <c r="C9" s="110">
        <f>B9*C16+C17</f>
        <v>3906.0801999999999</v>
      </c>
      <c r="D9" s="111">
        <f>C9/E15</f>
        <v>5.3507947945205476</v>
      </c>
      <c r="E9" s="111">
        <f>C9/E16</f>
        <v>4.4691993135011439</v>
      </c>
    </row>
    <row r="10" spans="2:5" x14ac:dyDescent="0.25">
      <c r="B10" s="108">
        <f>B9-C15</f>
        <v>30.259999999999998</v>
      </c>
      <c r="C10" s="110">
        <f>B10*C16+C17</f>
        <v>3686.5401999999999</v>
      </c>
      <c r="D10" s="111">
        <f>C10/E15</f>
        <v>5.0500550684931502</v>
      </c>
      <c r="E10" s="111">
        <f>C10/E16</f>
        <v>4.2180093821510294</v>
      </c>
    </row>
    <row r="11" spans="2:5" x14ac:dyDescent="0.25">
      <c r="B11" s="108">
        <f>B10-C15</f>
        <v>28.259999999999998</v>
      </c>
      <c r="C11" s="110">
        <f>B11*C16+C17</f>
        <v>3467.0001999999999</v>
      </c>
      <c r="D11" s="111">
        <f>C11/E15</f>
        <v>4.7493153424657537</v>
      </c>
      <c r="E11" s="111">
        <f>C11/E16</f>
        <v>3.9668194508009154</v>
      </c>
    </row>
    <row r="12" spans="2:5" x14ac:dyDescent="0.25">
      <c r="B12" s="108">
        <f>B11-C15</f>
        <v>26.259999999999998</v>
      </c>
      <c r="C12" s="110">
        <f>B12*C16+C17</f>
        <v>3247.4602</v>
      </c>
      <c r="D12" s="111">
        <f>C12/E15</f>
        <v>4.4485756164383563</v>
      </c>
      <c r="E12" s="111">
        <f>C12/E16</f>
        <v>3.7156295194508009</v>
      </c>
    </row>
    <row r="13" spans="2:5" x14ac:dyDescent="0.25">
      <c r="B13" s="108">
        <f>B12-C15</f>
        <v>24.259999999999998</v>
      </c>
      <c r="C13" s="110">
        <f>B13*C16+C17</f>
        <v>3027.9201999999996</v>
      </c>
      <c r="D13" s="111">
        <f>C13/E15</f>
        <v>4.147835890410958</v>
      </c>
      <c r="E13" s="111">
        <f>C13/E16</f>
        <v>3.464439588100686</v>
      </c>
    </row>
    <row r="15" spans="2:5" x14ac:dyDescent="0.25">
      <c r="B15" s="107" t="s">
        <v>371</v>
      </c>
      <c r="C15" s="113">
        <v>2</v>
      </c>
      <c r="D15" s="107" t="s">
        <v>373</v>
      </c>
      <c r="E15" s="114">
        <v>730</v>
      </c>
    </row>
    <row r="16" spans="2:5" x14ac:dyDescent="0.25">
      <c r="B16" s="107" t="s">
        <v>310</v>
      </c>
      <c r="C16" s="114">
        <v>109.77</v>
      </c>
      <c r="D16" s="107" t="s">
        <v>374</v>
      </c>
      <c r="E16" s="114">
        <v>874</v>
      </c>
    </row>
    <row r="17" spans="2:5" x14ac:dyDescent="0.25">
      <c r="B17" s="107" t="s">
        <v>366</v>
      </c>
      <c r="C17" s="112">
        <v>364.9</v>
      </c>
      <c r="D17" s="107" t="s">
        <v>375</v>
      </c>
      <c r="E17" s="82">
        <f>E16/E15-1</f>
        <v>0.19726027397260282</v>
      </c>
    </row>
    <row r="18" spans="2:5" x14ac:dyDescent="0.25">
      <c r="D18" s="107" t="s">
        <v>376</v>
      </c>
      <c r="E18" s="107">
        <f>E16-E15</f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1"/>
  <sheetViews>
    <sheetView tabSelected="1" showOutlineSymbols="0" showWhiteSpace="0" zoomScale="180" zoomScaleNormal="180" workbookViewId="0">
      <selection activeCell="A47" sqref="A47:A50"/>
    </sheetView>
  </sheetViews>
  <sheetFormatPr defaultColWidth="8.85546875" defaultRowHeight="15" x14ac:dyDescent="0.25"/>
  <cols>
    <col min="1" max="1" width="7" style="107" bestFit="1" customWidth="1"/>
    <col min="2" max="2" width="34.28515625" style="107" bestFit="1" customWidth="1"/>
    <col min="3" max="3" width="8.85546875" style="107" bestFit="1" customWidth="1"/>
    <col min="4" max="4" width="12.7109375" style="107" bestFit="1" customWidth="1"/>
    <col min="5" max="5" width="14.42578125" style="107" bestFit="1" customWidth="1"/>
    <col min="6" max="6" width="8.140625" style="107" bestFit="1" customWidth="1"/>
    <col min="7" max="7" width="11.140625" style="107" bestFit="1" customWidth="1"/>
    <col min="8" max="8" width="11.7109375" style="107" bestFit="1" customWidth="1"/>
    <col min="9" max="12" width="10.42578125" style="107" bestFit="1" customWidth="1"/>
    <col min="13" max="16" width="10" style="107" bestFit="1" customWidth="1"/>
    <col min="17" max="17" width="18.42578125" style="107" bestFit="1" customWidth="1"/>
    <col min="18" max="18" width="18.28515625" style="107" bestFit="1" customWidth="1"/>
    <col min="19" max="19" width="8.42578125" style="107" bestFit="1" customWidth="1"/>
    <col min="20" max="21" width="7.85546875" style="107" bestFit="1" customWidth="1"/>
    <col min="22" max="23" width="8.42578125" style="107" bestFit="1" customWidth="1"/>
    <col min="24" max="25" width="8.7109375" style="107" bestFit="1" customWidth="1"/>
    <col min="26" max="26" width="8.42578125" style="107" bestFit="1" customWidth="1"/>
    <col min="27" max="28" width="9" style="107" bestFit="1" customWidth="1"/>
    <col min="29" max="29" width="8.85546875" style="107" bestFit="1" customWidth="1"/>
    <col min="30" max="35" width="8.42578125" style="107" bestFit="1" customWidth="1"/>
    <col min="36" max="39" width="8.7109375" style="107" bestFit="1" customWidth="1"/>
    <col min="40" max="40" width="9.28515625" style="107" bestFit="1" customWidth="1"/>
    <col min="41" max="41" width="12" style="107" bestFit="1" customWidth="1"/>
    <col min="42" max="42" width="6.7109375" style="107" bestFit="1" customWidth="1"/>
    <col min="43" max="43" width="43.140625" style="107" bestFit="1" customWidth="1"/>
    <col min="44" max="16384" width="8.85546875" style="107"/>
  </cols>
  <sheetData>
    <row r="1" spans="1:45" x14ac:dyDescent="0.25">
      <c r="A1" s="107">
        <v>1</v>
      </c>
      <c r="B1" s="107">
        <v>2</v>
      </c>
      <c r="C1" s="107">
        <v>3</v>
      </c>
      <c r="D1" s="107">
        <v>4</v>
      </c>
      <c r="E1" s="107">
        <v>5</v>
      </c>
      <c r="F1" s="107">
        <v>6</v>
      </c>
      <c r="G1" s="107">
        <v>7</v>
      </c>
      <c r="H1" s="107">
        <v>8</v>
      </c>
      <c r="I1" s="107">
        <v>9</v>
      </c>
      <c r="J1" s="107">
        <v>10</v>
      </c>
      <c r="K1" s="107">
        <v>11</v>
      </c>
      <c r="L1" s="107">
        <v>12</v>
      </c>
      <c r="M1" s="107">
        <v>13</v>
      </c>
      <c r="N1" s="107">
        <v>14</v>
      </c>
      <c r="O1" s="107">
        <v>15</v>
      </c>
      <c r="P1" s="107">
        <v>16</v>
      </c>
      <c r="Q1" s="107">
        <v>17</v>
      </c>
      <c r="R1" s="107">
        <v>18</v>
      </c>
      <c r="S1" s="107">
        <v>19</v>
      </c>
      <c r="T1" s="107">
        <v>20</v>
      </c>
      <c r="U1" s="107">
        <v>21</v>
      </c>
      <c r="V1" s="107">
        <v>22</v>
      </c>
      <c r="W1" s="107">
        <v>23</v>
      </c>
      <c r="X1" s="107">
        <v>24</v>
      </c>
      <c r="Y1" s="107">
        <v>25</v>
      </c>
      <c r="Z1" s="107">
        <v>26</v>
      </c>
      <c r="AA1" s="107">
        <v>27</v>
      </c>
      <c r="AB1" s="107">
        <v>28</v>
      </c>
      <c r="AC1" s="107">
        <v>29</v>
      </c>
      <c r="AD1" s="107">
        <v>30</v>
      </c>
      <c r="AE1" s="107">
        <v>31</v>
      </c>
      <c r="AF1" s="107">
        <v>32</v>
      </c>
      <c r="AG1" s="107">
        <v>33</v>
      </c>
      <c r="AH1" s="107">
        <v>34</v>
      </c>
      <c r="AI1" s="107">
        <v>35</v>
      </c>
      <c r="AJ1" s="107">
        <v>36</v>
      </c>
      <c r="AK1" s="107">
        <v>37</v>
      </c>
      <c r="AL1" s="107">
        <v>38</v>
      </c>
      <c r="AM1" s="107">
        <v>39</v>
      </c>
      <c r="AN1" s="107">
        <v>40</v>
      </c>
      <c r="AO1" s="107">
        <v>41</v>
      </c>
      <c r="AP1" s="107">
        <v>42</v>
      </c>
      <c r="AQ1" s="107">
        <v>43</v>
      </c>
      <c r="AR1" s="107">
        <v>44</v>
      </c>
      <c r="AS1" s="107">
        <v>45</v>
      </c>
    </row>
    <row r="2" spans="1:45" ht="57" thickBot="1" x14ac:dyDescent="0.3">
      <c r="A2" s="117" t="s">
        <v>0</v>
      </c>
      <c r="B2" s="117" t="s">
        <v>131</v>
      </c>
      <c r="C2" s="117" t="s">
        <v>369</v>
      </c>
      <c r="D2" s="117" t="s">
        <v>310</v>
      </c>
      <c r="E2" s="117" t="s">
        <v>262</v>
      </c>
      <c r="F2" s="117" t="s">
        <v>366</v>
      </c>
      <c r="G2" s="117" t="s">
        <v>263</v>
      </c>
      <c r="H2" s="117" t="s">
        <v>379</v>
      </c>
      <c r="I2" s="118" t="s">
        <v>264</v>
      </c>
      <c r="J2" s="118" t="s">
        <v>380</v>
      </c>
      <c r="K2" s="118" t="s">
        <v>367</v>
      </c>
      <c r="L2" s="118" t="s">
        <v>368</v>
      </c>
      <c r="M2" s="118" t="s">
        <v>315</v>
      </c>
      <c r="N2" s="118" t="s">
        <v>381</v>
      </c>
      <c r="O2" s="118" t="s">
        <v>382</v>
      </c>
      <c r="P2" s="118" t="s">
        <v>389</v>
      </c>
      <c r="Q2" s="118" t="s">
        <v>265</v>
      </c>
      <c r="R2" s="118" t="s">
        <v>395</v>
      </c>
      <c r="S2" s="118" t="s">
        <v>266</v>
      </c>
      <c r="T2" s="118" t="s">
        <v>267</v>
      </c>
      <c r="U2" s="118" t="s">
        <v>268</v>
      </c>
      <c r="V2" s="118" t="s">
        <v>269</v>
      </c>
      <c r="W2" s="118" t="s">
        <v>270</v>
      </c>
      <c r="X2" s="118" t="s">
        <v>271</v>
      </c>
      <c r="Y2" s="118" t="s">
        <v>272</v>
      </c>
      <c r="Z2" s="118" t="s">
        <v>396</v>
      </c>
      <c r="AA2" s="118" t="s">
        <v>383</v>
      </c>
      <c r="AB2" s="118" t="s">
        <v>384</v>
      </c>
      <c r="AC2" s="118" t="s">
        <v>385</v>
      </c>
      <c r="AD2" s="118" t="s">
        <v>397</v>
      </c>
      <c r="AE2" s="118" t="s">
        <v>278</v>
      </c>
      <c r="AF2" s="118" t="s">
        <v>280</v>
      </c>
      <c r="AG2" s="118" t="s">
        <v>281</v>
      </c>
      <c r="AH2" s="118" t="s">
        <v>282</v>
      </c>
      <c r="AI2" s="118" t="s">
        <v>283</v>
      </c>
      <c r="AJ2" s="118" t="s">
        <v>284</v>
      </c>
      <c r="AK2" s="118" t="s">
        <v>285</v>
      </c>
      <c r="AL2" s="118" t="s">
        <v>286</v>
      </c>
      <c r="AM2" s="118" t="s">
        <v>287</v>
      </c>
      <c r="AN2" s="118" t="s">
        <v>390</v>
      </c>
      <c r="AO2" s="118" t="s">
        <v>288</v>
      </c>
      <c r="AP2" s="118" t="s">
        <v>292</v>
      </c>
      <c r="AQ2" s="118" t="s">
        <v>332</v>
      </c>
      <c r="AR2" s="118" t="s">
        <v>333</v>
      </c>
      <c r="AS2" s="118" t="s">
        <v>391</v>
      </c>
    </row>
    <row r="3" spans="1:45" s="122" customFormat="1" ht="12.75" x14ac:dyDescent="0.2">
      <c r="A3" s="119" t="s">
        <v>4</v>
      </c>
      <c r="B3" s="119" t="s">
        <v>135</v>
      </c>
      <c r="C3" s="119">
        <v>167.33</v>
      </c>
      <c r="D3" s="119"/>
      <c r="E3" s="120">
        <v>398649.47718516004</v>
      </c>
      <c r="F3" s="119"/>
      <c r="G3" s="120">
        <v>392544.90818516002</v>
      </c>
      <c r="H3" s="120">
        <v>3896.163</v>
      </c>
      <c r="I3" s="121">
        <v>5782.6381578947367</v>
      </c>
      <c r="J3" s="121">
        <v>2865.5070000000001</v>
      </c>
      <c r="K3" s="121">
        <v>4393.9047619047624</v>
      </c>
      <c r="L3" s="121">
        <v>6279.4</v>
      </c>
      <c r="M3" s="121">
        <v>2893.998</v>
      </c>
      <c r="N3" s="121">
        <v>1945.009</v>
      </c>
      <c r="O3" s="121">
        <v>2725.7240000000002</v>
      </c>
      <c r="P3" s="121">
        <v>2920.4358974358979</v>
      </c>
      <c r="Q3" s="3">
        <v>0.62793377403117256</v>
      </c>
      <c r="R3" s="3">
        <v>0.47228471948783574</v>
      </c>
      <c r="S3" s="80">
        <v>0.48418794539518406</v>
      </c>
      <c r="T3" s="80">
        <v>0.53337777988494262</v>
      </c>
      <c r="U3" s="80">
        <v>0.42911609155540109</v>
      </c>
      <c r="V3" s="3">
        <v>0.8290900000000001</v>
      </c>
      <c r="W3" s="3">
        <v>0.83355000000000001</v>
      </c>
      <c r="X3" s="4">
        <v>0.48601417548118603</v>
      </c>
      <c r="Y3" s="4">
        <v>0.48075764646580749</v>
      </c>
      <c r="Z3" s="3">
        <v>0.46039885908264094</v>
      </c>
      <c r="AA3" s="4">
        <v>0.5004632697013861</v>
      </c>
      <c r="AB3" s="4">
        <v>0.44266070964106119</v>
      </c>
      <c r="AC3" s="4">
        <v>0.43407395611045646</v>
      </c>
      <c r="AD3" s="5">
        <v>0.93268357857047668</v>
      </c>
      <c r="AE3" s="5">
        <v>0.98465121509657016</v>
      </c>
      <c r="AF3" s="6">
        <v>67.883360062783581</v>
      </c>
      <c r="AG3" s="6">
        <v>89.33851083631393</v>
      </c>
      <c r="AH3" s="6">
        <v>62.513123576322585</v>
      </c>
      <c r="AI3" s="7">
        <v>1.4020043396036761</v>
      </c>
      <c r="AJ3" s="6">
        <v>135.64104335426632</v>
      </c>
      <c r="AK3" s="6">
        <v>201.82164102333718</v>
      </c>
      <c r="AL3" s="6">
        <v>144.01491427054242</v>
      </c>
      <c r="AM3" s="6">
        <v>2.8014130596241698</v>
      </c>
      <c r="AN3" s="6">
        <v>134.41312255126331</v>
      </c>
      <c r="AO3" s="6" t="s">
        <v>290</v>
      </c>
      <c r="AP3" s="6" t="s">
        <v>293</v>
      </c>
      <c r="AQ3" s="6"/>
      <c r="AR3" s="6" t="s">
        <v>119</v>
      </c>
      <c r="AS3" s="119" t="s">
        <v>392</v>
      </c>
    </row>
    <row r="4" spans="1:45" s="122" customFormat="1" ht="12.75" x14ac:dyDescent="0.2">
      <c r="A4" s="119" t="s">
        <v>93</v>
      </c>
      <c r="B4" s="119" t="s">
        <v>224</v>
      </c>
      <c r="C4" s="119">
        <v>196.53</v>
      </c>
      <c r="D4" s="119"/>
      <c r="E4" s="120">
        <v>68954.441708189988</v>
      </c>
      <c r="F4" s="119"/>
      <c r="G4" s="120">
        <v>68412.68470818999</v>
      </c>
      <c r="H4" s="120">
        <v>2013.376</v>
      </c>
      <c r="I4" s="121">
        <v>2569.4814814814818</v>
      </c>
      <c r="J4" s="121">
        <v>1669.626</v>
      </c>
      <c r="K4" s="121">
        <v>2144.1481481481483</v>
      </c>
      <c r="L4" s="121">
        <v>2732</v>
      </c>
      <c r="M4" s="121">
        <v>360.22300000000001</v>
      </c>
      <c r="N4" s="121">
        <v>263.43</v>
      </c>
      <c r="O4" s="121">
        <v>371.26300000000003</v>
      </c>
      <c r="P4" s="121">
        <v>590.16190476190479</v>
      </c>
      <c r="Q4" s="3">
        <v>0.30679033300626402</v>
      </c>
      <c r="R4" s="3">
        <v>0.28064889358732925</v>
      </c>
      <c r="S4" s="80">
        <v>0.27620547850052946</v>
      </c>
      <c r="T4" s="80">
        <v>0.28420864801347623</v>
      </c>
      <c r="U4" s="80">
        <v>0.2741656878325156</v>
      </c>
      <c r="V4" s="3">
        <v>0.75966000000000011</v>
      </c>
      <c r="W4" s="3">
        <v>0.76017999999999997</v>
      </c>
      <c r="X4" s="4">
        <v>0.13926602984868375</v>
      </c>
      <c r="Y4" s="4">
        <v>0.15189019033674964</v>
      </c>
      <c r="Z4" s="3">
        <v>0.10374217235131439</v>
      </c>
      <c r="AA4" s="4">
        <v>0.14019287649907747</v>
      </c>
      <c r="AB4" s="4">
        <v>0.12285998065363089</v>
      </c>
      <c r="AC4" s="4">
        <v>0.13589421669106883</v>
      </c>
      <c r="AD4" s="5">
        <v>0.38439106593864364</v>
      </c>
      <c r="AE4" s="5">
        <v>0.41639835499960692</v>
      </c>
      <c r="AF4" s="6">
        <v>26.625093506704474</v>
      </c>
      <c r="AG4" s="6">
        <v>31.906696730483134</v>
      </c>
      <c r="AH4" s="6">
        <v>25.04124623286603</v>
      </c>
      <c r="AI4" s="7">
        <v>0.9639596452339535</v>
      </c>
      <c r="AJ4" s="6">
        <v>189.91759190332095</v>
      </c>
      <c r="AK4" s="6">
        <v>259.69967242982949</v>
      </c>
      <c r="AL4" s="6">
        <v>184.27013924950771</v>
      </c>
      <c r="AM4" s="6">
        <v>6.8759531105012792</v>
      </c>
      <c r="AN4" s="6">
        <v>115.92189220649618</v>
      </c>
      <c r="AO4" s="6" t="s">
        <v>291</v>
      </c>
      <c r="AP4" s="6" t="s">
        <v>294</v>
      </c>
      <c r="AQ4" s="6"/>
      <c r="AR4" s="6"/>
      <c r="AS4" s="119" t="s">
        <v>392</v>
      </c>
    </row>
    <row r="5" spans="1:45" s="122" customFormat="1" ht="12.75" x14ac:dyDescent="0.2">
      <c r="A5" s="119" t="s">
        <v>89</v>
      </c>
      <c r="B5" s="119" t="s">
        <v>220</v>
      </c>
      <c r="C5" s="119">
        <v>513.66999999999996</v>
      </c>
      <c r="D5" s="119"/>
      <c r="E5" s="120">
        <v>128908.1267638</v>
      </c>
      <c r="F5" s="119"/>
      <c r="G5" s="120">
        <v>124784.2297638</v>
      </c>
      <c r="H5" s="120">
        <v>4341.1019999999999</v>
      </c>
      <c r="I5" s="121">
        <v>5283.2072871572864</v>
      </c>
      <c r="J5" s="121">
        <v>3953.6239999999998</v>
      </c>
      <c r="K5" s="121">
        <v>4704.4710101010105</v>
      </c>
      <c r="L5" s="121">
        <v>5733.005343388495</v>
      </c>
      <c r="M5" s="121">
        <v>1500.9010000000001</v>
      </c>
      <c r="N5" s="121">
        <v>1161.1483333333333</v>
      </c>
      <c r="O5" s="121">
        <v>1757.8426666666664</v>
      </c>
      <c r="P5" s="121">
        <v>1429.351754385965</v>
      </c>
      <c r="Q5" s="3">
        <v>0.2127668404103451</v>
      </c>
      <c r="R5" s="3">
        <v>0.23458040751856302</v>
      </c>
      <c r="S5" s="80">
        <v>0.21701984591868295</v>
      </c>
      <c r="T5" s="80">
        <v>0.18991361093037962</v>
      </c>
      <c r="U5" s="80">
        <v>0.21862911495875093</v>
      </c>
      <c r="V5" s="3">
        <v>0.77922083333333336</v>
      </c>
      <c r="W5" s="3">
        <v>0.78505333333333327</v>
      </c>
      <c r="X5" s="4">
        <v>0.21148290619435434</v>
      </c>
      <c r="Y5" s="4">
        <v>0.23946515270271379</v>
      </c>
      <c r="Z5" s="3">
        <v>0.23909458934620748</v>
      </c>
      <c r="AA5" s="4">
        <v>0.28408898580384562</v>
      </c>
      <c r="AB5" s="4">
        <v>0.24681804412020431</v>
      </c>
      <c r="AC5" s="4">
        <v>0.30661800598073274</v>
      </c>
      <c r="AD5" s="5">
        <v>0.47367499686477049</v>
      </c>
      <c r="AE5" s="5">
        <v>0.50110883172252851</v>
      </c>
      <c r="AF5" s="6">
        <v>23.619029688108668</v>
      </c>
      <c r="AG5" s="6">
        <v>26.524603828118973</v>
      </c>
      <c r="AH5" s="6">
        <v>21.765936413735528</v>
      </c>
      <c r="AI5" s="7">
        <v>1.0883350132392355</v>
      </c>
      <c r="AJ5" s="6">
        <v>83.139547354422447</v>
      </c>
      <c r="AK5" s="6">
        <v>107.46622647735217</v>
      </c>
      <c r="AL5" s="6">
        <v>70.987143576634097</v>
      </c>
      <c r="AM5" s="6">
        <v>3.8309651821232387</v>
      </c>
      <c r="AN5" s="6">
        <v>87.301274428005328</v>
      </c>
      <c r="AO5" s="6" t="s">
        <v>291</v>
      </c>
      <c r="AP5" s="6" t="s">
        <v>294</v>
      </c>
      <c r="AQ5" s="6"/>
      <c r="AR5" s="6"/>
      <c r="AS5" s="119" t="s">
        <v>392</v>
      </c>
    </row>
    <row r="6" spans="1:45" s="122" customFormat="1" ht="12.75" x14ac:dyDescent="0.2">
      <c r="A6" s="119" t="s">
        <v>10</v>
      </c>
      <c r="B6" s="119" t="s">
        <v>141</v>
      </c>
      <c r="C6" s="119">
        <v>526.01</v>
      </c>
      <c r="D6" s="119"/>
      <c r="E6" s="120">
        <v>177767.70954999997</v>
      </c>
      <c r="F6" s="119"/>
      <c r="G6" s="120">
        <v>179612.77554999996</v>
      </c>
      <c r="H6" s="120">
        <v>5520.5990000000002</v>
      </c>
      <c r="I6" s="121">
        <v>6994.487058823529</v>
      </c>
      <c r="J6" s="121">
        <v>4709.2479999999996</v>
      </c>
      <c r="K6" s="121">
        <v>5704.59375</v>
      </c>
      <c r="L6" s="121">
        <v>7852</v>
      </c>
      <c r="M6" s="121">
        <v>4481.8419999999996</v>
      </c>
      <c r="N6" s="121">
        <v>3475.9520000000002</v>
      </c>
      <c r="O6" s="121">
        <v>4857.8190000000004</v>
      </c>
      <c r="P6" s="121">
        <v>5816.884057971014</v>
      </c>
      <c r="Q6" s="3">
        <v>0.68231387978246771</v>
      </c>
      <c r="R6" s="3">
        <v>0.55178622978504765</v>
      </c>
      <c r="S6" s="80">
        <v>0.26697973513807627</v>
      </c>
      <c r="T6" s="80">
        <v>0.21135980734079007</v>
      </c>
      <c r="U6" s="80">
        <v>0.37643456205799053</v>
      </c>
      <c r="V6" s="3">
        <v>0.85826999999999998</v>
      </c>
      <c r="W6" s="3">
        <v>0.87545000000000006</v>
      </c>
      <c r="X6" s="4">
        <v>0.68950045741644617</v>
      </c>
      <c r="Y6" s="4">
        <v>0.74340804890473766</v>
      </c>
      <c r="Z6" s="3">
        <v>0.60746795773429663</v>
      </c>
      <c r="AA6" s="4">
        <v>0.64076778787461852</v>
      </c>
      <c r="AB6" s="4">
        <v>0.60932507244709588</v>
      </c>
      <c r="AC6" s="4">
        <v>0.6186728222109017</v>
      </c>
      <c r="AD6" s="5">
        <v>1.1592541875193443</v>
      </c>
      <c r="AE6" s="5">
        <v>0.90774752301269479</v>
      </c>
      <c r="AF6" s="6">
        <v>25.679191917786003</v>
      </c>
      <c r="AG6" s="6">
        <v>31.485638315611862</v>
      </c>
      <c r="AH6" s="6">
        <v>22.874780380794697</v>
      </c>
      <c r="AI6" s="7">
        <v>0.96184048967256897</v>
      </c>
      <c r="AJ6" s="6">
        <v>40.075659862618977</v>
      </c>
      <c r="AK6" s="6">
        <v>51.672973490427928</v>
      </c>
      <c r="AL6" s="6">
        <v>36.97395385665871</v>
      </c>
      <c r="AM6" s="6">
        <v>1.5010749726713415</v>
      </c>
      <c r="AN6" s="6">
        <v>30.877833176659646</v>
      </c>
      <c r="AO6" s="6" t="s">
        <v>289</v>
      </c>
      <c r="AP6" s="6" t="s">
        <v>293</v>
      </c>
      <c r="AQ6" s="6"/>
      <c r="AR6" s="6" t="s">
        <v>355</v>
      </c>
      <c r="AS6" s="119" t="s">
        <v>392</v>
      </c>
    </row>
    <row r="7" spans="1:45" s="122" customFormat="1" ht="12.75" x14ac:dyDescent="0.2">
      <c r="A7" s="119" t="s">
        <v>22</v>
      </c>
      <c r="B7" s="119" t="s">
        <v>153</v>
      </c>
      <c r="C7" s="119">
        <v>214.33</v>
      </c>
      <c r="D7" s="119"/>
      <c r="E7" s="120">
        <v>18222.099336690004</v>
      </c>
      <c r="F7" s="119"/>
      <c r="G7" s="120">
        <v>17788.349336690004</v>
      </c>
      <c r="H7" s="120">
        <v>1202.4590000000001</v>
      </c>
      <c r="I7" s="121">
        <v>1399.6428571428571</v>
      </c>
      <c r="J7" s="121">
        <v>1202.4590000000001</v>
      </c>
      <c r="K7" s="121">
        <v>1288.1395838509316</v>
      </c>
      <c r="L7" s="121">
        <v>1482.2484091994963</v>
      </c>
      <c r="M7" s="121">
        <v>335.97399999999999</v>
      </c>
      <c r="N7" s="121">
        <v>308.38766666666663</v>
      </c>
      <c r="O7" s="121">
        <v>366.04700000000003</v>
      </c>
      <c r="P7" s="121">
        <v>312.89999999999998</v>
      </c>
      <c r="Q7" s="3">
        <v>0.22316175840008246</v>
      </c>
      <c r="R7" s="3">
        <v>0.2263770312402793</v>
      </c>
      <c r="S7" s="80">
        <v>0.16398385071163091</v>
      </c>
      <c r="T7" s="80">
        <v>7.1254474248961142E-2</v>
      </c>
      <c r="U7" s="80">
        <v>0.15068927916047015</v>
      </c>
      <c r="V7" s="3">
        <v>0.65536749999999999</v>
      </c>
      <c r="W7" s="3">
        <v>0.66456416666666673</v>
      </c>
      <c r="X7" s="4">
        <v>0.18190368207833091</v>
      </c>
      <c r="Y7" s="4">
        <v>0.20748171761998829</v>
      </c>
      <c r="Z7" s="3">
        <v>0.24543539530245934</v>
      </c>
      <c r="AA7" s="4">
        <v>0.24004266394488391</v>
      </c>
      <c r="AB7" s="4">
        <v>0.239405473236629</v>
      </c>
      <c r="AC7" s="4">
        <v>0.24695388284996542</v>
      </c>
      <c r="AD7" s="5">
        <v>0.47181242654273864</v>
      </c>
      <c r="AE7" s="5">
        <v>0.40402651465651485</v>
      </c>
      <c r="AF7" s="6">
        <v>12.709205956298039</v>
      </c>
      <c r="AG7" s="6">
        <v>13.809333677574914</v>
      </c>
      <c r="AH7" s="6">
        <v>12.00092320982607</v>
      </c>
      <c r="AI7" s="7">
        <v>0.77502790068318672</v>
      </c>
      <c r="AJ7" s="6">
        <v>52.945612864953851</v>
      </c>
      <c r="AK7" s="6">
        <v>57.681779329772176</v>
      </c>
      <c r="AL7" s="6">
        <v>48.595806922854173</v>
      </c>
      <c r="AM7" s="6">
        <v>3.2287089634246873</v>
      </c>
      <c r="AN7" s="6">
        <v>56.849949941482919</v>
      </c>
      <c r="AO7" s="6" t="s">
        <v>290</v>
      </c>
      <c r="AP7" s="6" t="s">
        <v>293</v>
      </c>
      <c r="AQ7" s="6"/>
      <c r="AR7" s="6" t="s">
        <v>350</v>
      </c>
      <c r="AS7" s="119" t="s">
        <v>392</v>
      </c>
    </row>
    <row r="8" spans="1:45" s="122" customFormat="1" ht="12.75" x14ac:dyDescent="0.2">
      <c r="A8" s="119" t="s">
        <v>11</v>
      </c>
      <c r="B8" s="119" t="s">
        <v>142</v>
      </c>
      <c r="C8" s="119">
        <v>303.20999999999998</v>
      </c>
      <c r="D8" s="119"/>
      <c r="E8" s="120">
        <v>82534.065210000001</v>
      </c>
      <c r="F8" s="119"/>
      <c r="G8" s="120">
        <v>82259.961209999994</v>
      </c>
      <c r="H8" s="120">
        <v>5212.6260000000002</v>
      </c>
      <c r="I8" s="121">
        <v>5754.8</v>
      </c>
      <c r="J8" s="121">
        <v>4641.2640000000001</v>
      </c>
      <c r="K8" s="121">
        <v>5277.416666666667</v>
      </c>
      <c r="L8" s="121">
        <v>5930.416666666667</v>
      </c>
      <c r="M8" s="121">
        <v>1943.4180000000001</v>
      </c>
      <c r="N8" s="121">
        <v>1560.828</v>
      </c>
      <c r="O8" s="121">
        <v>1862.462</v>
      </c>
      <c r="P8" s="121">
        <v>2700.1333333333337</v>
      </c>
      <c r="Q8" s="3">
        <v>0.10147190577696885</v>
      </c>
      <c r="R8" s="3">
        <v>0.19722979779535876</v>
      </c>
      <c r="S8" s="80">
        <v>0.10401168240345648</v>
      </c>
      <c r="T8" s="80">
        <v>0.13706452954769799</v>
      </c>
      <c r="U8" s="80">
        <v>0.12373478185349529</v>
      </c>
      <c r="V8" s="3">
        <v>0.87517999999999996</v>
      </c>
      <c r="W8" s="3">
        <v>0.88179000000000007</v>
      </c>
      <c r="X8" s="4">
        <v>0.43821629900993225</v>
      </c>
      <c r="Y8" s="4">
        <v>0.43772725356565728</v>
      </c>
      <c r="Z8" s="3">
        <v>0.28145372409223296</v>
      </c>
      <c r="AA8" s="4">
        <v>0.33770382984638914</v>
      </c>
      <c r="AB8" s="4">
        <v>0.29575606752040928</v>
      </c>
      <c r="AC8" s="4">
        <v>0.31405246961287148</v>
      </c>
      <c r="AD8" s="5">
        <v>0.47868352188759172</v>
      </c>
      <c r="AE8" s="5">
        <v>0.44171551224984562</v>
      </c>
      <c r="AF8" s="6">
        <v>14.294147704524917</v>
      </c>
      <c r="AG8" s="6">
        <v>15.587164403669723</v>
      </c>
      <c r="AH8" s="6">
        <v>13.870856945408557</v>
      </c>
      <c r="AI8" s="7">
        <v>1.3742829049797103</v>
      </c>
      <c r="AJ8" s="6">
        <v>42.327466973137014</v>
      </c>
      <c r="AK8" s="6">
        <v>52.702771355972594</v>
      </c>
      <c r="AL8" s="6">
        <v>44.167323258138957</v>
      </c>
      <c r="AM8" s="6">
        <v>4.0694916181579242</v>
      </c>
      <c r="AN8" s="6">
        <v>30.4651478482544</v>
      </c>
      <c r="AO8" s="6" t="s">
        <v>290</v>
      </c>
      <c r="AP8" s="6" t="s">
        <v>293</v>
      </c>
      <c r="AQ8" s="6"/>
      <c r="AR8" s="6" t="s">
        <v>346</v>
      </c>
      <c r="AS8" s="119" t="s">
        <v>393</v>
      </c>
    </row>
    <row r="9" spans="1:45" s="122" customFormat="1" ht="12.75" x14ac:dyDescent="0.2">
      <c r="A9" s="119" t="s">
        <v>30</v>
      </c>
      <c r="B9" s="119" t="s">
        <v>161</v>
      </c>
      <c r="C9" s="119">
        <v>47.42</v>
      </c>
      <c r="D9" s="119"/>
      <c r="E9" s="120">
        <v>8927.9089319799987</v>
      </c>
      <c r="F9" s="119"/>
      <c r="G9" s="120">
        <v>8060.8109319800005</v>
      </c>
      <c r="H9" s="120">
        <v>621.32899999999995</v>
      </c>
      <c r="I9" s="121">
        <v>680.93313222724987</v>
      </c>
      <c r="J9" s="121">
        <v>570.399</v>
      </c>
      <c r="K9" s="121">
        <v>634.14976470588226</v>
      </c>
      <c r="L9" s="121">
        <v>699.60470085470081</v>
      </c>
      <c r="M9" s="121">
        <v>357.94499999999999</v>
      </c>
      <c r="N9" s="121">
        <v>511.71100000000001</v>
      </c>
      <c r="O9" s="121">
        <v>358.20299999999997</v>
      </c>
      <c r="P9" s="121">
        <v>370.81666666666666</v>
      </c>
      <c r="Q9" s="3">
        <v>0.23161979653882137</v>
      </c>
      <c r="R9" s="3">
        <v>0.20214801615171943</v>
      </c>
      <c r="S9" s="80">
        <v>9.5930066401616498E-2</v>
      </c>
      <c r="T9" s="80">
        <v>0.11176521120458172</v>
      </c>
      <c r="U9" s="80">
        <v>0.10321684212746884</v>
      </c>
      <c r="V9" s="3">
        <v>0.91773749999999987</v>
      </c>
      <c r="W9" s="3">
        <v>0.91780499999999998</v>
      </c>
      <c r="X9" s="4">
        <v>0.54620220534284636</v>
      </c>
      <c r="Y9" s="4">
        <v>0.53489348991341268</v>
      </c>
      <c r="Z9" s="3">
        <v>0.74620048315787613</v>
      </c>
      <c r="AA9" s="4">
        <v>0.52566835575940507</v>
      </c>
      <c r="AB9" s="4">
        <v>0.80692452868342679</v>
      </c>
      <c r="AC9" s="4">
        <v>0.51200770887100466</v>
      </c>
      <c r="AD9" s="5">
        <v>0.94834849930959553</v>
      </c>
      <c r="AE9" s="5">
        <v>0.62159842216102157</v>
      </c>
      <c r="AF9" s="6">
        <v>11.837889141352344</v>
      </c>
      <c r="AG9" s="6">
        <v>12.711210159824931</v>
      </c>
      <c r="AH9" s="6">
        <v>11.52195078468195</v>
      </c>
      <c r="AI9" s="7">
        <v>1.2340123993860661</v>
      </c>
      <c r="AJ9" s="6">
        <v>22.519691382698461</v>
      </c>
      <c r="AK9" s="6">
        <v>15.752662991375992</v>
      </c>
      <c r="AL9" s="6">
        <v>22.503471305321288</v>
      </c>
      <c r="AM9" s="6">
        <v>2.3475112889444412</v>
      </c>
      <c r="AN9" s="6">
        <v>21.737995232091333</v>
      </c>
      <c r="AO9" s="6" t="s">
        <v>290</v>
      </c>
      <c r="AP9" s="6" t="s">
        <v>293</v>
      </c>
      <c r="AQ9" s="6"/>
      <c r="AR9" s="6"/>
      <c r="AS9" s="119" t="s">
        <v>392</v>
      </c>
    </row>
    <row r="10" spans="1:45" s="122" customFormat="1" ht="12.75" x14ac:dyDescent="0.2">
      <c r="A10" s="119" t="s">
        <v>94</v>
      </c>
      <c r="B10" s="119" t="s">
        <v>225</v>
      </c>
      <c r="C10" s="119">
        <v>293.11</v>
      </c>
      <c r="D10" s="119"/>
      <c r="E10" s="120">
        <v>46399.554229529997</v>
      </c>
      <c r="F10" s="119"/>
      <c r="G10" s="120">
        <v>44623.721229529998</v>
      </c>
      <c r="H10" s="120">
        <v>2673.1149999999998</v>
      </c>
      <c r="I10" s="121">
        <v>3277.2380952380954</v>
      </c>
      <c r="J10" s="121">
        <v>2673.1149999999998</v>
      </c>
      <c r="K10" s="121">
        <v>2917.2454554865421</v>
      </c>
      <c r="L10" s="121">
        <v>3537.9266735679776</v>
      </c>
      <c r="M10" s="121">
        <v>874.51099999999997</v>
      </c>
      <c r="N10" s="121">
        <v>801.05233333333342</v>
      </c>
      <c r="O10" s="121">
        <v>984.17966666666678</v>
      </c>
      <c r="P10" s="121">
        <v>860.13636363636363</v>
      </c>
      <c r="Q10" s="3">
        <v>0.21313007279866669</v>
      </c>
      <c r="R10" s="3">
        <v>0.23311687443000215</v>
      </c>
      <c r="S10" s="80">
        <v>0.22599966527369597</v>
      </c>
      <c r="T10" s="80">
        <v>9.1328078098601218E-2</v>
      </c>
      <c r="U10" s="80">
        <v>0.21276276801257965</v>
      </c>
      <c r="V10" s="3">
        <v>0.80084999999999995</v>
      </c>
      <c r="W10" s="3">
        <v>0.80271500000000007</v>
      </c>
      <c r="X10" s="4">
        <v>0.21862130209185002</v>
      </c>
      <c r="Y10" s="4">
        <v>0.22893973638609874</v>
      </c>
      <c r="Z10" s="3">
        <v>0.27185250166940067</v>
      </c>
      <c r="AA10" s="4">
        <v>0.26684390165935307</v>
      </c>
      <c r="AB10" s="4">
        <v>0.27459202372799063</v>
      </c>
      <c r="AC10" s="4">
        <v>0.27817978083591188</v>
      </c>
      <c r="AD10" s="5">
        <v>0.50496937609940284</v>
      </c>
      <c r="AE10" s="5">
        <v>0.49284356693304904</v>
      </c>
      <c r="AF10" s="6">
        <v>13.616258548431169</v>
      </c>
      <c r="AG10" s="6">
        <v>15.296526092998093</v>
      </c>
      <c r="AH10" s="6">
        <v>12.612958194672601</v>
      </c>
      <c r="AI10" s="7">
        <v>0.6024902086443914</v>
      </c>
      <c r="AJ10" s="6">
        <v>51.027055382413714</v>
      </c>
      <c r="AK10" s="6">
        <v>55.706374443529896</v>
      </c>
      <c r="AL10" s="6">
        <v>45.341031460918884</v>
      </c>
      <c r="AM10" s="6">
        <v>2.2578376530167694</v>
      </c>
      <c r="AN10" s="6">
        <v>51.879821753932248</v>
      </c>
      <c r="AO10" s="6" t="s">
        <v>291</v>
      </c>
      <c r="AP10" s="6" t="s">
        <v>294</v>
      </c>
      <c r="AQ10" s="6"/>
      <c r="AR10" s="6" t="s">
        <v>335</v>
      </c>
      <c r="AS10" s="119" t="s">
        <v>392</v>
      </c>
    </row>
    <row r="11" spans="1:45" s="122" customFormat="1" ht="12.75" x14ac:dyDescent="0.2">
      <c r="A11" s="119" t="s">
        <v>7</v>
      </c>
      <c r="B11" s="119" t="s">
        <v>138</v>
      </c>
      <c r="C11" s="119">
        <v>817.97</v>
      </c>
      <c r="D11" s="119"/>
      <c r="E11" s="120">
        <v>169713.64828078999</v>
      </c>
      <c r="F11" s="119"/>
      <c r="G11" s="120">
        <v>166704.64828078999</v>
      </c>
      <c r="H11" s="120">
        <v>12667</v>
      </c>
      <c r="I11" s="121">
        <v>15036.777777777777</v>
      </c>
      <c r="J11" s="121">
        <v>10984</v>
      </c>
      <c r="K11" s="121">
        <v>13241.439024390244</v>
      </c>
      <c r="L11" s="121">
        <v>15693.243902439024</v>
      </c>
      <c r="M11" s="121">
        <v>5068.9130000000005</v>
      </c>
      <c r="N11" s="121">
        <v>4497.7269999999999</v>
      </c>
      <c r="O11" s="121">
        <v>5358.0320000000002</v>
      </c>
      <c r="P11" s="121">
        <v>5453.0769230769238</v>
      </c>
      <c r="Q11" s="3">
        <v>0.21809081158383981</v>
      </c>
      <c r="R11" s="3">
        <v>0.21053134556574926</v>
      </c>
      <c r="S11" s="80">
        <v>0.18708279606677025</v>
      </c>
      <c r="T11" s="80">
        <v>0.20552066864441398</v>
      </c>
      <c r="U11" s="80">
        <v>0.18516151254653268</v>
      </c>
      <c r="V11" s="3">
        <v>0.81252999999999997</v>
      </c>
      <c r="W11" s="3">
        <v>0.81126999999999994</v>
      </c>
      <c r="X11" s="4">
        <v>0.31054026623736647</v>
      </c>
      <c r="Y11" s="4">
        <v>0.31500816725544473</v>
      </c>
      <c r="Z11" s="3">
        <v>0.31246546143522541</v>
      </c>
      <c r="AA11" s="4">
        <v>0.33710101159379602</v>
      </c>
      <c r="AB11" s="4">
        <v>0.3396705593489765</v>
      </c>
      <c r="AC11" s="4">
        <v>0.34142284624578234</v>
      </c>
      <c r="AD11" s="5">
        <v>0.52299680700097473</v>
      </c>
      <c r="AE11" s="5">
        <v>0.52418380766056627</v>
      </c>
      <c r="AF11" s="6">
        <v>11.086460859131389</v>
      </c>
      <c r="AG11" s="6">
        <v>12.589617183882066</v>
      </c>
      <c r="AH11" s="6">
        <v>10.622701674500895</v>
      </c>
      <c r="AI11" s="7">
        <v>0.59259649161832106</v>
      </c>
      <c r="AJ11" s="6">
        <v>32.887652299573887</v>
      </c>
      <c r="AK11" s="6">
        <v>37.064198934437329</v>
      </c>
      <c r="AL11" s="6">
        <v>31.113037077940181</v>
      </c>
      <c r="AM11" s="6">
        <v>1.757919647931508</v>
      </c>
      <c r="AN11" s="6">
        <v>30.570749437865278</v>
      </c>
      <c r="AO11" s="6" t="s">
        <v>289</v>
      </c>
      <c r="AP11" s="6" t="s">
        <v>293</v>
      </c>
      <c r="AQ11" s="6"/>
      <c r="AR11" s="6" t="s">
        <v>358</v>
      </c>
      <c r="AS11" s="119" t="s">
        <v>392</v>
      </c>
    </row>
    <row r="12" spans="1:45" s="122" customFormat="1" ht="12.75" x14ac:dyDescent="0.2">
      <c r="A12" s="119" t="s">
        <v>92</v>
      </c>
      <c r="B12" s="119" t="s">
        <v>223</v>
      </c>
      <c r="C12" s="119">
        <v>254.51</v>
      </c>
      <c r="D12" s="119"/>
      <c r="E12" s="120">
        <v>86227.987999999998</v>
      </c>
      <c r="F12" s="119"/>
      <c r="G12" s="120">
        <v>85340.55</v>
      </c>
      <c r="H12" s="120">
        <v>4115.9070000000002</v>
      </c>
      <c r="I12" s="121">
        <v>5120.7636583223539</v>
      </c>
      <c r="J12" s="121">
        <v>3626.3960000000002</v>
      </c>
      <c r="K12" s="121">
        <v>4525.1469009661832</v>
      </c>
      <c r="L12" s="121">
        <v>5598.1960254721125</v>
      </c>
      <c r="M12" s="121">
        <v>1374.154</v>
      </c>
      <c r="N12" s="121">
        <v>1080.4279999999999</v>
      </c>
      <c r="O12" s="121">
        <v>1417.2546666666667</v>
      </c>
      <c r="P12" s="121">
        <v>678.48571428571427</v>
      </c>
      <c r="Q12" s="3">
        <v>0.31783919164202623</v>
      </c>
      <c r="R12" s="3">
        <v>0.28365202887720975</v>
      </c>
      <c r="S12" s="80">
        <v>0.24413978700742112</v>
      </c>
      <c r="T12" s="80">
        <v>0.24783584058833696</v>
      </c>
      <c r="U12" s="80">
        <v>0.23713022980023424</v>
      </c>
      <c r="V12" s="3">
        <v>0.72432583333333345</v>
      </c>
      <c r="W12" s="3">
        <v>0.72641333333333336</v>
      </c>
      <c r="X12" s="4">
        <v>9.4461619748015327E-2</v>
      </c>
      <c r="Y12" s="4">
        <v>0.10819717588380066</v>
      </c>
      <c r="Z12" s="3">
        <v>0.17864640770551909</v>
      </c>
      <c r="AA12" s="4">
        <v>0.26834942826675884</v>
      </c>
      <c r="AB12" s="4">
        <v>0.23876086757963882</v>
      </c>
      <c r="AC12" s="4">
        <v>0.25316274389429683</v>
      </c>
      <c r="AD12" s="5">
        <v>0.46229843658272884</v>
      </c>
      <c r="AE12" s="5">
        <v>0.51248921527418001</v>
      </c>
      <c r="AF12" s="6">
        <v>16.665590465457836</v>
      </c>
      <c r="AG12" s="6">
        <v>18.859177805206407</v>
      </c>
      <c r="AH12" s="6">
        <v>15.244294699881108</v>
      </c>
      <c r="AI12" s="7">
        <v>0.68262492851897383</v>
      </c>
      <c r="AJ12" s="6">
        <v>62.104065483199122</v>
      </c>
      <c r="AK12" s="6">
        <v>78.987725234814363</v>
      </c>
      <c r="AL12" s="6">
        <v>60.215395304160815</v>
      </c>
      <c r="AM12" s="6">
        <v>2.543791253545713</v>
      </c>
      <c r="AN12" s="6">
        <v>125.78090916747379</v>
      </c>
      <c r="AO12" s="6" t="s">
        <v>291</v>
      </c>
      <c r="AP12" s="6" t="s">
        <v>294</v>
      </c>
      <c r="AQ12" s="6"/>
      <c r="AR12" s="6" t="s">
        <v>363</v>
      </c>
      <c r="AS12" s="119" t="s">
        <v>392</v>
      </c>
    </row>
    <row r="13" spans="1:45" s="122" customFormat="1" ht="12.75" x14ac:dyDescent="0.2">
      <c r="A13" s="119" t="s">
        <v>98</v>
      </c>
      <c r="B13" s="119" t="s">
        <v>229</v>
      </c>
      <c r="C13" s="119">
        <v>478.76</v>
      </c>
      <c r="D13" s="129"/>
      <c r="E13" s="120">
        <v>24166.34553952</v>
      </c>
      <c r="F13" s="119"/>
      <c r="G13" s="120">
        <v>23475.95553952</v>
      </c>
      <c r="H13" s="120">
        <v>1302.8510000000001</v>
      </c>
      <c r="I13" s="121">
        <v>1517.3585562987737</v>
      </c>
      <c r="J13" s="121">
        <v>1000.742</v>
      </c>
      <c r="K13" s="121">
        <v>1339.0416666666667</v>
      </c>
      <c r="L13" s="121">
        <v>1593.9629629629628</v>
      </c>
      <c r="M13" s="121">
        <v>360.93600000000004</v>
      </c>
      <c r="N13" s="121">
        <v>255.721</v>
      </c>
      <c r="O13" s="121">
        <v>386.291</v>
      </c>
      <c r="P13" s="121">
        <v>404.06238095238098</v>
      </c>
      <c r="Q13" s="3">
        <v>0.42787648582685689</v>
      </c>
      <c r="R13" s="3">
        <v>0.43255133254605482</v>
      </c>
      <c r="S13" s="80">
        <v>0.16464473397094026</v>
      </c>
      <c r="T13" s="80">
        <v>0.33804883443151867</v>
      </c>
      <c r="U13" s="80">
        <v>0.19037592529206537</v>
      </c>
      <c r="V13" s="3">
        <v>0.8427</v>
      </c>
      <c r="W13" s="3">
        <v>0.84332000000000007</v>
      </c>
      <c r="X13" s="4">
        <v>0.17612753294693934</v>
      </c>
      <c r="Y13" s="4">
        <v>0.18921957850221902</v>
      </c>
      <c r="Z13" s="3">
        <v>0.15784383632510546</v>
      </c>
      <c r="AA13" s="4">
        <v>0.23787126549733598</v>
      </c>
      <c r="AB13" s="4">
        <v>0.19097314621775524</v>
      </c>
      <c r="AC13" s="4">
        <v>0.24234628343053655</v>
      </c>
      <c r="AD13" s="5">
        <v>0.59039516887116028</v>
      </c>
      <c r="AE13" s="5">
        <v>0.40251599946827621</v>
      </c>
      <c r="AF13" s="6">
        <v>15.471594002662014</v>
      </c>
      <c r="AG13" s="6">
        <v>17.531908172775307</v>
      </c>
      <c r="AH13" s="6">
        <v>14.728043301508936</v>
      </c>
      <c r="AI13" s="7">
        <v>0.93969564829159646</v>
      </c>
      <c r="AJ13" s="6">
        <v>65.041878725092531</v>
      </c>
      <c r="AK13" s="6">
        <v>91.803002254488291</v>
      </c>
      <c r="AL13" s="6">
        <v>60.772721962251261</v>
      </c>
      <c r="AM13" s="6">
        <v>3.9504378400934708</v>
      </c>
      <c r="AN13" s="6">
        <v>58.099829744572673</v>
      </c>
      <c r="AO13" s="6" t="s">
        <v>291</v>
      </c>
      <c r="AP13" s="6" t="s">
        <v>294</v>
      </c>
      <c r="AQ13" s="6"/>
      <c r="AR13" s="6" t="s">
        <v>335</v>
      </c>
      <c r="AS13" s="119" t="s">
        <v>393</v>
      </c>
    </row>
    <row r="14" spans="1:45" s="122" customFormat="1" ht="12.75" x14ac:dyDescent="0.2">
      <c r="A14" s="119" t="s">
        <v>21</v>
      </c>
      <c r="B14" s="119" t="s">
        <v>152</v>
      </c>
      <c r="C14" s="119">
        <v>36.29</v>
      </c>
      <c r="D14" s="129"/>
      <c r="E14" s="120">
        <v>20817.200976730001</v>
      </c>
      <c r="F14" s="119"/>
      <c r="G14" s="120">
        <v>20192.579976730001</v>
      </c>
      <c r="H14" s="120">
        <v>1426.635</v>
      </c>
      <c r="I14" s="121">
        <v>1727.6666666666665</v>
      </c>
      <c r="J14" s="121">
        <v>1249.1990000000001</v>
      </c>
      <c r="K14" s="121">
        <v>1551.2405567765568</v>
      </c>
      <c r="L14" s="121">
        <v>1868.2074175824175</v>
      </c>
      <c r="M14" s="121">
        <v>244.89099999999999</v>
      </c>
      <c r="N14" s="121">
        <v>186.60033333333331</v>
      </c>
      <c r="O14" s="121">
        <v>257.34066666666666</v>
      </c>
      <c r="P14" s="121">
        <v>287.85000000000002</v>
      </c>
      <c r="Q14" s="3">
        <v>0.30405526945190253</v>
      </c>
      <c r="R14" s="3">
        <v>0.3031772043670804</v>
      </c>
      <c r="S14" s="80">
        <v>0.21100818826586099</v>
      </c>
      <c r="T14" s="80">
        <v>0.2417881832890969</v>
      </c>
      <c r="U14" s="80">
        <v>0.20433121054062098</v>
      </c>
      <c r="V14" s="3">
        <v>0.77430833333333327</v>
      </c>
      <c r="W14" s="3">
        <v>0.77359083333333345</v>
      </c>
      <c r="X14" s="4">
        <v>0.14998791278176149</v>
      </c>
      <c r="Y14" s="4">
        <v>0.15881373620919742</v>
      </c>
      <c r="Z14" s="3">
        <v>0.11890427474441606</v>
      </c>
      <c r="AA14" s="4">
        <v>0.14174667181169207</v>
      </c>
      <c r="AB14" s="4">
        <v>0.1202910357895004</v>
      </c>
      <c r="AC14" s="4">
        <v>0.13774737443216145</v>
      </c>
      <c r="AD14" s="5">
        <v>0.42208147911149646</v>
      </c>
      <c r="AE14" s="5">
        <v>0.35275486007755308</v>
      </c>
      <c r="AF14" s="6">
        <v>11.687775406172102</v>
      </c>
      <c r="AG14" s="6">
        <v>13.017052634756876</v>
      </c>
      <c r="AH14" s="6">
        <v>10.808532171904401</v>
      </c>
      <c r="AI14" s="7">
        <v>0.55390150980520347</v>
      </c>
      <c r="AJ14" s="6">
        <v>82.455378011972684</v>
      </c>
      <c r="AK14" s="6">
        <v>108.21298984851762</v>
      </c>
      <c r="AL14" s="6">
        <v>78.466338951726769</v>
      </c>
      <c r="AM14" s="6">
        <v>3.9076861751015346</v>
      </c>
      <c r="AN14" s="6">
        <v>70.149661201076952</v>
      </c>
      <c r="AO14" s="6" t="s">
        <v>290</v>
      </c>
      <c r="AP14" s="6" t="s">
        <v>293</v>
      </c>
      <c r="AQ14" s="6"/>
      <c r="AR14" s="6"/>
      <c r="AS14" s="119" t="s">
        <v>392</v>
      </c>
    </row>
    <row r="15" spans="1:45" s="122" customFormat="1" ht="12.75" x14ac:dyDescent="0.2">
      <c r="A15" s="119" t="s">
        <v>16</v>
      </c>
      <c r="B15" s="119" t="s">
        <v>147</v>
      </c>
      <c r="C15" s="119">
        <v>273.72000000000003</v>
      </c>
      <c r="D15" s="129"/>
      <c r="E15" s="120">
        <v>44864.901318359996</v>
      </c>
      <c r="F15" s="119"/>
      <c r="G15" s="120">
        <v>38546.636318359997</v>
      </c>
      <c r="H15" s="120">
        <v>2968.2170000000001</v>
      </c>
      <c r="I15" s="121">
        <v>3315.309764309764</v>
      </c>
      <c r="J15" s="121">
        <v>2746.6190000000001</v>
      </c>
      <c r="K15" s="121">
        <v>3114.6491940418682</v>
      </c>
      <c r="L15" s="121">
        <v>3475.7668093983311</v>
      </c>
      <c r="M15" s="121">
        <v>1393.559</v>
      </c>
      <c r="N15" s="121">
        <v>1334.0159999999998</v>
      </c>
      <c r="O15" s="121">
        <v>1476.7810000000002</v>
      </c>
      <c r="P15" s="121">
        <v>1484.0706766917292</v>
      </c>
      <c r="Q15" s="3">
        <v>0.16696712862384477</v>
      </c>
      <c r="R15" s="3">
        <v>0.15331072729808909</v>
      </c>
      <c r="S15" s="80">
        <v>0.11693645185300272</v>
      </c>
      <c r="T15" s="80">
        <v>0.13399390088027063</v>
      </c>
      <c r="U15" s="80">
        <v>0.11594166561269836</v>
      </c>
      <c r="V15" s="3">
        <v>0.7796966666666667</v>
      </c>
      <c r="W15" s="3">
        <v>0.78359250000000003</v>
      </c>
      <c r="X15" s="4">
        <v>0.44365991606482819</v>
      </c>
      <c r="Y15" s="4">
        <v>0.44176985517213085</v>
      </c>
      <c r="Z15" s="3">
        <v>0.44742281308947424</v>
      </c>
      <c r="AA15" s="4">
        <v>0.42034051086328406</v>
      </c>
      <c r="AB15" s="4">
        <v>0.42830377255707969</v>
      </c>
      <c r="AC15" s="4">
        <v>0.42487919385352457</v>
      </c>
      <c r="AD15" s="5">
        <v>0.60073354038756333</v>
      </c>
      <c r="AE15" s="5">
        <v>0.53727696271628678</v>
      </c>
      <c r="AF15" s="6">
        <v>11.626858139569734</v>
      </c>
      <c r="AG15" s="6">
        <v>12.375915846990837</v>
      </c>
      <c r="AH15" s="6">
        <v>11.090110019501731</v>
      </c>
      <c r="AI15" s="7">
        <v>0.99428860336770819</v>
      </c>
      <c r="AJ15" s="6">
        <v>27.660570035685605</v>
      </c>
      <c r="AK15" s="6">
        <v>28.895182905122578</v>
      </c>
      <c r="AL15" s="6">
        <v>26.101795945614139</v>
      </c>
      <c r="AM15" s="6">
        <v>2.3654360635515834</v>
      </c>
      <c r="AN15" s="6">
        <v>25.973585304095927</v>
      </c>
      <c r="AO15" s="6" t="s">
        <v>290</v>
      </c>
      <c r="AP15" s="6" t="s">
        <v>293</v>
      </c>
      <c r="AQ15" s="6"/>
      <c r="AR15" s="6" t="s">
        <v>342</v>
      </c>
      <c r="AS15" s="119" t="s">
        <v>392</v>
      </c>
    </row>
    <row r="16" spans="1:45" s="122" customFormat="1" ht="12.75" x14ac:dyDescent="0.2">
      <c r="A16" s="119" t="s">
        <v>88</v>
      </c>
      <c r="B16" s="119" t="s">
        <v>219</v>
      </c>
      <c r="C16" s="119">
        <v>201</v>
      </c>
      <c r="D16" s="129"/>
      <c r="E16" s="120">
        <v>135417.76160699999</v>
      </c>
      <c r="F16" s="119"/>
      <c r="G16" s="120">
        <v>127376.361607</v>
      </c>
      <c r="H16" s="120">
        <v>9221.5</v>
      </c>
      <c r="I16" s="121">
        <v>10505.673469387755</v>
      </c>
      <c r="J16" s="121">
        <v>9221.5</v>
      </c>
      <c r="K16" s="121">
        <v>9756.2708140610539</v>
      </c>
      <c r="L16" s="121">
        <v>11084.452198818755</v>
      </c>
      <c r="M16" s="121">
        <v>4058.5149999999999</v>
      </c>
      <c r="N16" s="121">
        <v>3705.472666666667</v>
      </c>
      <c r="O16" s="121">
        <v>4370.5336666666662</v>
      </c>
      <c r="P16" s="121">
        <v>3398.6666666666665</v>
      </c>
      <c r="Q16" s="3">
        <v>0.15839232701530048</v>
      </c>
      <c r="R16" s="3">
        <v>0.14873871068203051</v>
      </c>
      <c r="S16" s="80">
        <v>0.1392586313926969</v>
      </c>
      <c r="T16" s="80">
        <v>5.7991738227083811E-2</v>
      </c>
      <c r="U16" s="80">
        <v>0.13613617437140868</v>
      </c>
      <c r="V16" s="3">
        <v>0.77324999999999999</v>
      </c>
      <c r="W16" s="3">
        <v>0.76719166666666683</v>
      </c>
      <c r="X16" s="4">
        <v>0.28993632784942003</v>
      </c>
      <c r="Y16" s="4">
        <v>0.29827196455280541</v>
      </c>
      <c r="Z16" s="3">
        <v>0.37627284064414679</v>
      </c>
      <c r="AA16" s="4">
        <v>0.38631649953960734</v>
      </c>
      <c r="AB16" s="4">
        <v>0.37980420360269412</v>
      </c>
      <c r="AC16" s="4">
        <v>0.39429406057003197</v>
      </c>
      <c r="AD16" s="5">
        <v>0.52501155132617727</v>
      </c>
      <c r="AE16" s="5">
        <v>0.52557513093230424</v>
      </c>
      <c r="AF16" s="6">
        <v>12.124530805013034</v>
      </c>
      <c r="AG16" s="6">
        <v>13.055845213257207</v>
      </c>
      <c r="AH16" s="6">
        <v>11.491443990400734</v>
      </c>
      <c r="AI16" s="7">
        <v>0.87064842471580373</v>
      </c>
      <c r="AJ16" s="6">
        <v>31.384967557591878</v>
      </c>
      <c r="AK16" s="6">
        <v>34.375199351175887</v>
      </c>
      <c r="AL16" s="6">
        <v>29.144349711450189</v>
      </c>
      <c r="AM16" s="6">
        <v>2.2537179378913379</v>
      </c>
      <c r="AN16" s="6">
        <v>37.478333152314633</v>
      </c>
      <c r="AO16" s="6" t="s">
        <v>291</v>
      </c>
      <c r="AP16" s="6" t="s">
        <v>294</v>
      </c>
      <c r="AQ16" s="6"/>
      <c r="AR16" s="6" t="s">
        <v>335</v>
      </c>
      <c r="AS16" s="119" t="s">
        <v>393</v>
      </c>
    </row>
    <row r="17" spans="1:45" s="122" customFormat="1" ht="12.75" x14ac:dyDescent="0.2">
      <c r="A17" s="119" t="s">
        <v>104</v>
      </c>
      <c r="B17" s="119" t="s">
        <v>235</v>
      </c>
      <c r="C17" s="119">
        <v>18.73</v>
      </c>
      <c r="D17" s="129"/>
      <c r="E17" s="120">
        <v>10425.77901916</v>
      </c>
      <c r="F17" s="119"/>
      <c r="G17" s="120">
        <v>10154.72701916</v>
      </c>
      <c r="H17" s="120">
        <v>970.20699999999999</v>
      </c>
      <c r="I17" s="121">
        <v>1150.233918128655</v>
      </c>
      <c r="J17" s="121">
        <v>861.61099999999999</v>
      </c>
      <c r="K17" s="121">
        <v>1038.6675429061784</v>
      </c>
      <c r="L17" s="121">
        <v>1242.800994787694</v>
      </c>
      <c r="M17" s="121">
        <v>158.655</v>
      </c>
      <c r="N17" s="121">
        <v>15.373999999999967</v>
      </c>
      <c r="O17" s="121">
        <v>190.36733333333333</v>
      </c>
      <c r="P17" s="121">
        <v>200.780303030303</v>
      </c>
      <c r="Q17" s="3">
        <v>0.33128037265516808</v>
      </c>
      <c r="R17" s="3">
        <v>0.25985365441925995</v>
      </c>
      <c r="S17" s="80">
        <v>0.18555516310298215</v>
      </c>
      <c r="T17" s="80">
        <v>0.20549475680577234</v>
      </c>
      <c r="U17" s="80">
        <v>0.19653396630682507</v>
      </c>
      <c r="V17" s="3">
        <v>0.77759</v>
      </c>
      <c r="W17" s="3">
        <v>0.7828991666666667</v>
      </c>
      <c r="X17" s="4">
        <v>0.1685386896531523</v>
      </c>
      <c r="Y17" s="4">
        <v>0.17500656520675564</v>
      </c>
      <c r="Z17" s="3" t="e">
        <v>#VALUE!</v>
      </c>
      <c r="AA17" s="4">
        <v>0.1379328130560781</v>
      </c>
      <c r="AB17" s="4">
        <v>1.4801656319194988E-2</v>
      </c>
      <c r="AC17" s="4">
        <v>0.15317603874774299</v>
      </c>
      <c r="AD17" s="5" t="e">
        <v>#VALUE!</v>
      </c>
      <c r="AE17" s="5">
        <v>0.32348797615906022</v>
      </c>
      <c r="AF17" s="6">
        <v>8.8284016486672421</v>
      </c>
      <c r="AG17" s="6">
        <v>9.7766865716697033</v>
      </c>
      <c r="AH17" s="6">
        <v>8.1708391462099836</v>
      </c>
      <c r="AI17" s="7">
        <v>0.47578313106639475</v>
      </c>
      <c r="AJ17" s="6">
        <v>64.005086629226938</v>
      </c>
      <c r="AK17" s="6">
        <v>660.51301022245491</v>
      </c>
      <c r="AL17" s="6">
        <v>53.342802262082778</v>
      </c>
      <c r="AM17" s="6">
        <v>3.4493832216193545</v>
      </c>
      <c r="AN17" s="6">
        <v>50.576310852700459</v>
      </c>
      <c r="AO17" s="6" t="s">
        <v>291</v>
      </c>
      <c r="AP17" s="6" t="s">
        <v>294</v>
      </c>
      <c r="AQ17" s="6"/>
      <c r="AR17" s="6" t="s">
        <v>335</v>
      </c>
      <c r="AS17" s="119" t="s">
        <v>393</v>
      </c>
    </row>
    <row r="18" spans="1:45" s="122" customFormat="1" ht="12.75" x14ac:dyDescent="0.2">
      <c r="A18" s="119" t="s">
        <v>91</v>
      </c>
      <c r="B18" s="119" t="s">
        <v>222</v>
      </c>
      <c r="C18" s="119">
        <v>74.900000000000006</v>
      </c>
      <c r="D18" s="129"/>
      <c r="E18" s="120">
        <v>37787.2927509</v>
      </c>
      <c r="F18" s="119"/>
      <c r="G18" s="120">
        <v>54653.721750900004</v>
      </c>
      <c r="H18" s="120">
        <v>4306.5259999999998</v>
      </c>
      <c r="I18" s="121">
        <v>9818.0865800865795</v>
      </c>
      <c r="J18" s="121">
        <v>1915.4259999999999</v>
      </c>
      <c r="K18" s="121">
        <v>5120.96</v>
      </c>
      <c r="L18" s="121">
        <v>11889.84</v>
      </c>
      <c r="M18" s="121">
        <v>-21153.343000000001</v>
      </c>
      <c r="N18" s="121">
        <v>-11604.669</v>
      </c>
      <c r="O18" s="121">
        <v>-18426.446</v>
      </c>
      <c r="P18" s="121">
        <v>6519.894736842105</v>
      </c>
      <c r="Q18" s="3">
        <v>1.3370100746479521</v>
      </c>
      <c r="R18" s="3" t="e">
        <v>#VALUE!</v>
      </c>
      <c r="S18" s="80">
        <v>1.2798159305404355</v>
      </c>
      <c r="T18" s="80">
        <v>1.6735358087443735</v>
      </c>
      <c r="U18" s="80">
        <v>1.3217990376804347</v>
      </c>
      <c r="V18" s="3">
        <v>0.73150999999999999</v>
      </c>
      <c r="W18" s="3">
        <v>0.74460999999999999</v>
      </c>
      <c r="X18" s="4">
        <v>0.13918581672186464</v>
      </c>
      <c r="Y18" s="4">
        <v>0.20106241967932284</v>
      </c>
      <c r="Z18" s="3" t="e">
        <v>#VALUE!</v>
      </c>
      <c r="AA18" s="4">
        <v>-2.1545280567095451</v>
      </c>
      <c r="AB18" s="4">
        <v>-2.2661120180591139</v>
      </c>
      <c r="AC18" s="4">
        <v>-1.5497640001883961</v>
      </c>
      <c r="AD18" s="5" t="e">
        <v>#VALUE!</v>
      </c>
      <c r="AE18" s="5">
        <v>-0.87471212616910954</v>
      </c>
      <c r="AF18" s="6">
        <v>5.5666367682834235</v>
      </c>
      <c r="AG18" s="6">
        <v>10.672553925611604</v>
      </c>
      <c r="AH18" s="6">
        <v>4.5966742824882427</v>
      </c>
      <c r="AI18" s="7">
        <v>4.3495604605677682E-2</v>
      </c>
      <c r="AJ18" s="6">
        <v>-2.5836919370569467</v>
      </c>
      <c r="AK18" s="6">
        <v>-4.7096321102221879</v>
      </c>
      <c r="AL18" s="6">
        <v>-2.9660479156371231</v>
      </c>
      <c r="AM18" s="6">
        <v>-2.0187996378244141E-2</v>
      </c>
      <c r="AN18" s="6">
        <v>8.3826079955044488</v>
      </c>
      <c r="AO18" s="6" t="s">
        <v>291</v>
      </c>
      <c r="AP18" s="6" t="s">
        <v>294</v>
      </c>
      <c r="AQ18" s="6"/>
      <c r="AR18" s="6"/>
      <c r="AS18" s="119" t="s">
        <v>392</v>
      </c>
    </row>
    <row r="19" spans="1:45" s="122" customFormat="1" ht="12.75" x14ac:dyDescent="0.2">
      <c r="A19" s="119" t="s">
        <v>9</v>
      </c>
      <c r="B19" s="119" t="s">
        <v>140</v>
      </c>
      <c r="C19" s="119">
        <v>140.44999999999999</v>
      </c>
      <c r="D19" s="129"/>
      <c r="E19" s="120">
        <v>182078.7866758504</v>
      </c>
      <c r="F19" s="119"/>
      <c r="G19" s="120">
        <v>176844.7866758504</v>
      </c>
      <c r="H19" s="120">
        <v>10696</v>
      </c>
      <c r="I19" s="121">
        <v>13352.138235294116</v>
      </c>
      <c r="J19" s="121">
        <v>8880</v>
      </c>
      <c r="K19" s="121">
        <v>11473.229166666666</v>
      </c>
      <c r="L19" s="121">
        <v>14206.458333333334</v>
      </c>
      <c r="M19" s="121">
        <v>2352.8740000000003</v>
      </c>
      <c r="N19" s="121">
        <v>1958.354</v>
      </c>
      <c r="O19" s="121">
        <v>2590.2260000000001</v>
      </c>
      <c r="P19" s="121">
        <v>2364.8857142857141</v>
      </c>
      <c r="Q19" s="3">
        <v>0.31544865864939875</v>
      </c>
      <c r="R19" s="3">
        <v>0.30248416950803703</v>
      </c>
      <c r="S19" s="80">
        <v>0.24833005191605428</v>
      </c>
      <c r="T19" s="80">
        <v>0.29203031156156145</v>
      </c>
      <c r="U19" s="80">
        <v>0.23822666896670697</v>
      </c>
      <c r="V19" s="3">
        <v>0.48411000000000004</v>
      </c>
      <c r="W19" s="3">
        <v>0.48086000000000001</v>
      </c>
      <c r="X19" s="4">
        <v>0.16662423213458868</v>
      </c>
      <c r="Y19" s="4">
        <v>0.17953193823231803</v>
      </c>
      <c r="Z19" s="3">
        <v>0.17791697830964848</v>
      </c>
      <c r="AA19" s="4">
        <v>0.1762170192172349</v>
      </c>
      <c r="AB19" s="4">
        <v>0.17068899884695352</v>
      </c>
      <c r="AC19" s="4">
        <v>0.182327356982593</v>
      </c>
      <c r="AD19" s="5">
        <v>0.4804011478176855</v>
      </c>
      <c r="AE19" s="5">
        <v>0.42454707113328916</v>
      </c>
      <c r="AF19" s="6">
        <v>13.244679133742874</v>
      </c>
      <c r="AG19" s="6">
        <v>15.413689041411292</v>
      </c>
      <c r="AH19" s="6">
        <v>12.44819662483439</v>
      </c>
      <c r="AI19" s="7">
        <v>0.53334983146623416</v>
      </c>
      <c r="AJ19" s="6">
        <v>75.1611801889308</v>
      </c>
      <c r="AK19" s="6">
        <v>90.30276787335201</v>
      </c>
      <c r="AL19" s="6">
        <v>68.273882925988076</v>
      </c>
      <c r="AM19" s="6">
        <v>3.026664699218053</v>
      </c>
      <c r="AN19" s="6">
        <v>74.779421943129407</v>
      </c>
      <c r="AO19" s="6" t="s">
        <v>289</v>
      </c>
      <c r="AP19" s="6" t="s">
        <v>293</v>
      </c>
      <c r="AQ19" s="6"/>
      <c r="AR19" s="6" t="s">
        <v>344</v>
      </c>
      <c r="AS19" s="119" t="s">
        <v>392</v>
      </c>
    </row>
    <row r="20" spans="1:45" s="122" customFormat="1" ht="12.75" x14ac:dyDescent="0.2">
      <c r="A20" s="119" t="s">
        <v>25</v>
      </c>
      <c r="B20" s="119" t="s">
        <v>156</v>
      </c>
      <c r="C20" s="119">
        <v>41.54</v>
      </c>
      <c r="D20" s="129"/>
      <c r="E20" s="120">
        <v>13859.123584939998</v>
      </c>
      <c r="F20" s="119"/>
      <c r="G20" s="120">
        <v>14977.006584939998</v>
      </c>
      <c r="H20" s="120">
        <v>1460.019</v>
      </c>
      <c r="I20" s="121">
        <v>1602.8041666666666</v>
      </c>
      <c r="J20" s="121">
        <v>1353.095</v>
      </c>
      <c r="K20" s="121">
        <v>1491</v>
      </c>
      <c r="L20" s="121">
        <v>1643.4375</v>
      </c>
      <c r="M20" s="121">
        <v>464.20800000000003</v>
      </c>
      <c r="N20" s="121">
        <v>452.81299999999999</v>
      </c>
      <c r="O20" s="121">
        <v>520.49099999999999</v>
      </c>
      <c r="P20" s="121">
        <v>573.64166666666677</v>
      </c>
      <c r="Q20" s="3">
        <v>0.12046316379899324</v>
      </c>
      <c r="R20" s="3">
        <v>0.11119829760547477</v>
      </c>
      <c r="S20" s="80">
        <v>9.7796786662821988E-2</v>
      </c>
      <c r="T20" s="80">
        <v>0.1019181949530521</v>
      </c>
      <c r="U20" s="80">
        <v>0.10223843058350091</v>
      </c>
      <c r="V20" s="3">
        <v>0.82165999999999995</v>
      </c>
      <c r="W20" s="3">
        <v>0.82869000000000004</v>
      </c>
      <c r="X20" s="4">
        <v>0.33649496981891347</v>
      </c>
      <c r="Y20" s="4">
        <v>0.34848541547822781</v>
      </c>
      <c r="Z20" s="3">
        <v>0.31515000832180956</v>
      </c>
      <c r="AA20" s="4">
        <v>0.2896224065634968</v>
      </c>
      <c r="AB20" s="4">
        <v>0.30369751844399728</v>
      </c>
      <c r="AC20" s="4">
        <v>0.31670872789503707</v>
      </c>
      <c r="AD20" s="5">
        <v>0.42634830592728434</v>
      </c>
      <c r="AE20" s="5">
        <v>0.38741919322631879</v>
      </c>
      <c r="AF20" s="6">
        <v>9.3442523400020274</v>
      </c>
      <c r="AG20" s="6">
        <v>10.044940700831654</v>
      </c>
      <c r="AH20" s="6">
        <v>9.1132194470066548</v>
      </c>
      <c r="AI20" s="7">
        <v>0.95547641787235726</v>
      </c>
      <c r="AJ20" s="6">
        <v>32.263568454098156</v>
      </c>
      <c r="AK20" s="6">
        <v>33.075478365108772</v>
      </c>
      <c r="AL20" s="6">
        <v>28.77476572109796</v>
      </c>
      <c r="AM20" s="6">
        <v>3.2990417737685589</v>
      </c>
      <c r="AN20" s="6">
        <v>26.108644917599538</v>
      </c>
      <c r="AO20" s="6" t="s">
        <v>290</v>
      </c>
      <c r="AP20" s="6" t="s">
        <v>293</v>
      </c>
      <c r="AQ20" s="6"/>
      <c r="AR20" s="6"/>
      <c r="AS20" s="119" t="s">
        <v>392</v>
      </c>
    </row>
    <row r="21" spans="1:45" s="122" customFormat="1" ht="12.75" x14ac:dyDescent="0.2">
      <c r="A21" s="119" t="s">
        <v>95</v>
      </c>
      <c r="B21" s="119" t="s">
        <v>226</v>
      </c>
      <c r="C21" s="119">
        <v>176.46</v>
      </c>
      <c r="D21" s="129"/>
      <c r="E21" s="120">
        <v>61922.954105700002</v>
      </c>
      <c r="F21" s="119"/>
      <c r="G21" s="120">
        <v>59061.932105700005</v>
      </c>
      <c r="H21" s="120">
        <v>3211.6909999999998</v>
      </c>
      <c r="I21" s="121">
        <v>3913.8394736842106</v>
      </c>
      <c r="J21" s="121">
        <v>2684.2750000000001</v>
      </c>
      <c r="K21" s="121">
        <v>3389.65625</v>
      </c>
      <c r="L21" s="121">
        <v>4112.5777777777776</v>
      </c>
      <c r="M21" s="121">
        <v>996.63400000000001</v>
      </c>
      <c r="N21" s="121">
        <v>886.56799999999998</v>
      </c>
      <c r="O21" s="121">
        <v>1100.9960000000001</v>
      </c>
      <c r="P21" s="121">
        <v>977.54044117647049</v>
      </c>
      <c r="Q21" s="3">
        <v>0.2835224110745258</v>
      </c>
      <c r="R21" s="3">
        <v>0.26634129762001912</v>
      </c>
      <c r="S21" s="80">
        <v>0.21862267375168121</v>
      </c>
      <c r="T21" s="80">
        <v>0.26278278119790266</v>
      </c>
      <c r="U21" s="80">
        <v>0.21327281425005196</v>
      </c>
      <c r="V21" s="3">
        <v>0.80844000000000005</v>
      </c>
      <c r="W21" s="3">
        <v>0.81147999999999998</v>
      </c>
      <c r="X21" s="4">
        <v>0.22336040712092856</v>
      </c>
      <c r="Y21" s="4">
        <v>0.23260129310133096</v>
      </c>
      <c r="Z21" s="3">
        <v>0.26922515273106912</v>
      </c>
      <c r="AA21" s="4">
        <v>0.25464355569541014</v>
      </c>
      <c r="AB21" s="4">
        <v>0.2615510053563691</v>
      </c>
      <c r="AC21" s="4">
        <v>0.26771432894210717</v>
      </c>
      <c r="AD21" s="5">
        <v>0.53556645035108819</v>
      </c>
      <c r="AE21" s="5">
        <v>0.47326622944709135</v>
      </c>
      <c r="AF21" s="6">
        <v>15.090535138913935</v>
      </c>
      <c r="AG21" s="6">
        <v>17.424165682198602</v>
      </c>
      <c r="AH21" s="6">
        <v>14.361292429492723</v>
      </c>
      <c r="AI21" s="7">
        <v>0.69025480660136196</v>
      </c>
      <c r="AJ21" s="6">
        <v>59.26140599829025</v>
      </c>
      <c r="AK21" s="6">
        <v>66.618614822213303</v>
      </c>
      <c r="AL21" s="6">
        <v>53.644093262554996</v>
      </c>
      <c r="AM21" s="6">
        <v>2.7106706263048133</v>
      </c>
      <c r="AN21" s="6">
        <v>60.418914264681405</v>
      </c>
      <c r="AO21" s="6" t="s">
        <v>291</v>
      </c>
      <c r="AP21" s="6" t="s">
        <v>294</v>
      </c>
      <c r="AQ21" s="6" t="s">
        <v>103</v>
      </c>
      <c r="AR21" s="6" t="s">
        <v>365</v>
      </c>
      <c r="AS21" s="119" t="s">
        <v>392</v>
      </c>
    </row>
    <row r="22" spans="1:45" s="122" customFormat="1" ht="12.75" x14ac:dyDescent="0.2">
      <c r="A22" s="119" t="s">
        <v>1</v>
      </c>
      <c r="B22" s="119" t="s">
        <v>132</v>
      </c>
      <c r="C22" s="119">
        <v>493.79</v>
      </c>
      <c r="D22" s="129"/>
      <c r="E22" s="120">
        <v>3670033.7622624491</v>
      </c>
      <c r="F22" s="119"/>
      <c r="G22" s="120">
        <v>3688396.7622624491</v>
      </c>
      <c r="H22" s="120">
        <v>293812</v>
      </c>
      <c r="I22" s="121">
        <v>338123.52733313193</v>
      </c>
      <c r="J22" s="121">
        <v>281724</v>
      </c>
      <c r="K22" s="121">
        <v>304457.68181818182</v>
      </c>
      <c r="L22" s="121">
        <v>350106.11824222287</v>
      </c>
      <c r="M22" s="121">
        <v>77326.428</v>
      </c>
      <c r="N22" s="121">
        <v>77977.513999999996</v>
      </c>
      <c r="O22" s="121">
        <v>77651.510000000009</v>
      </c>
      <c r="P22" s="121">
        <v>198586.625</v>
      </c>
      <c r="Q22" s="3">
        <v>0.18431043683769155</v>
      </c>
      <c r="R22" s="3">
        <v>0.15587552618120304</v>
      </c>
      <c r="S22" s="80">
        <v>0.150815920837583</v>
      </c>
      <c r="T22" s="80">
        <v>8.0694870931059537E-2</v>
      </c>
      <c r="U22" s="80">
        <v>0.14993360046438808</v>
      </c>
      <c r="V22" s="3">
        <v>0.68328370999999999</v>
      </c>
      <c r="W22" s="3">
        <v>0.67612499999999998</v>
      </c>
      <c r="X22" s="4">
        <v>0.46239214973748405</v>
      </c>
      <c r="Y22" s="4">
        <v>0.458771717005171</v>
      </c>
      <c r="Z22" s="3">
        <v>0.26553374266537788</v>
      </c>
      <c r="AA22" s="4">
        <v>0.22869283486391384</v>
      </c>
      <c r="AB22" s="4">
        <v>0.25611938425835862</v>
      </c>
      <c r="AC22" s="4">
        <v>0.22179421025220811</v>
      </c>
      <c r="AD22" s="5">
        <v>0.42140926884658092</v>
      </c>
      <c r="AE22" s="5">
        <v>0.37950875570149684</v>
      </c>
      <c r="AF22" s="6">
        <v>10.908429801835419</v>
      </c>
      <c r="AG22" s="6">
        <v>12.11464509693374</v>
      </c>
      <c r="AH22" s="6">
        <v>10.535082279569338</v>
      </c>
      <c r="AI22" s="7">
        <v>0.72329431410513678</v>
      </c>
      <c r="AJ22" s="6">
        <v>47.699044914662927</v>
      </c>
      <c r="AK22" s="6">
        <v>47.3007739418629</v>
      </c>
      <c r="AL22" s="6">
        <v>47.499356577385925</v>
      </c>
      <c r="AM22" s="6">
        <v>3.1627327307195299</v>
      </c>
      <c r="AN22" s="6">
        <v>18.573238566607642</v>
      </c>
      <c r="AO22" s="6" t="s">
        <v>289</v>
      </c>
      <c r="AP22" s="6" t="s">
        <v>293</v>
      </c>
      <c r="AQ22" s="6"/>
      <c r="AR22" s="6"/>
      <c r="AS22" s="119" t="s">
        <v>393</v>
      </c>
    </row>
    <row r="23" spans="1:45" s="122" customFormat="1" ht="12.75" x14ac:dyDescent="0.2">
      <c r="A23" s="119" t="s">
        <v>37</v>
      </c>
      <c r="B23" s="119" t="s">
        <v>168</v>
      </c>
      <c r="C23" s="119">
        <v>79.27</v>
      </c>
      <c r="D23" s="129"/>
      <c r="E23" s="120">
        <v>6812.1083533199999</v>
      </c>
      <c r="F23" s="119"/>
      <c r="G23" s="120">
        <v>6579.4503533199995</v>
      </c>
      <c r="H23" s="120">
        <v>684.78099999999995</v>
      </c>
      <c r="I23" s="121">
        <v>759.53787878787887</v>
      </c>
      <c r="J23" s="121">
        <v>651</v>
      </c>
      <c r="K23" s="121">
        <v>713.15092028985509</v>
      </c>
      <c r="L23" s="121">
        <v>793.80904150197637</v>
      </c>
      <c r="M23" s="121">
        <v>288.387</v>
      </c>
      <c r="N23" s="121">
        <v>252.18366666666668</v>
      </c>
      <c r="O23" s="121">
        <v>298.62233333333336</v>
      </c>
      <c r="P23" s="121">
        <v>343.34924242424239</v>
      </c>
      <c r="Q23" s="3">
        <v>0.10029065320483399</v>
      </c>
      <c r="R23" s="3">
        <v>0.12684610916295447</v>
      </c>
      <c r="S23" s="80">
        <v>0.10916903183335824</v>
      </c>
      <c r="T23" s="80">
        <v>9.5469923640330467E-2</v>
      </c>
      <c r="U23" s="80">
        <v>0.11310105465381493</v>
      </c>
      <c r="V23" s="3">
        <v>0.76626083333333339</v>
      </c>
      <c r="W23" s="3">
        <v>0.76986416666666668</v>
      </c>
      <c r="X23" s="4">
        <v>0.2862573136464488</v>
      </c>
      <c r="Y23" s="4">
        <v>0.31871225123358177</v>
      </c>
      <c r="Z23" s="3">
        <v>0.33777952367253178</v>
      </c>
      <c r="AA23" s="4">
        <v>0.37968744950577998</v>
      </c>
      <c r="AB23" s="4">
        <v>0.35361893183026172</v>
      </c>
      <c r="AC23" s="4">
        <v>0.37618913078680255</v>
      </c>
      <c r="AD23" s="5">
        <v>0.46462563283548625</v>
      </c>
      <c r="AE23" s="5">
        <v>0.48885648133913823</v>
      </c>
      <c r="AF23" s="6">
        <v>8.662438750019847</v>
      </c>
      <c r="AG23" s="6">
        <v>9.2258877695142409</v>
      </c>
      <c r="AH23" s="6">
        <v>8.2884547911811843</v>
      </c>
      <c r="AI23" s="7">
        <v>0.79348864824987009</v>
      </c>
      <c r="AJ23" s="6">
        <v>22.814656532090556</v>
      </c>
      <c r="AK23" s="6">
        <v>26.089914704970315</v>
      </c>
      <c r="AL23" s="6">
        <v>22.032680141092367</v>
      </c>
      <c r="AM23" s="6">
        <v>2.089846923522793</v>
      </c>
      <c r="AN23" s="6">
        <v>19.162559692473209</v>
      </c>
      <c r="AO23" s="6" t="s">
        <v>290</v>
      </c>
      <c r="AP23" s="6" t="s">
        <v>293</v>
      </c>
      <c r="AQ23" s="6"/>
      <c r="AR23" s="6" t="s">
        <v>346</v>
      </c>
      <c r="AS23" s="119" t="s">
        <v>392</v>
      </c>
    </row>
    <row r="24" spans="1:45" s="122" customFormat="1" ht="12.75" x14ac:dyDescent="0.2">
      <c r="A24" s="119" t="s">
        <v>26</v>
      </c>
      <c r="B24" s="119" t="s">
        <v>157</v>
      </c>
      <c r="C24" s="119">
        <v>153.17500000000001</v>
      </c>
      <c r="D24" s="129">
        <v>55</v>
      </c>
      <c r="E24" s="124">
        <v>8424.625</v>
      </c>
      <c r="F24" s="129">
        <v>1738.9860000000001</v>
      </c>
      <c r="G24" s="124">
        <v>6685.6390000000001</v>
      </c>
      <c r="H24" s="120">
        <v>1166.095</v>
      </c>
      <c r="I24" s="121">
        <v>1421.1600790513835</v>
      </c>
      <c r="J24" s="121">
        <v>971.995</v>
      </c>
      <c r="K24" s="121">
        <v>1227.2608695652175</v>
      </c>
      <c r="L24" s="121">
        <v>1491.75</v>
      </c>
      <c r="M24" s="121">
        <v>383.017</v>
      </c>
      <c r="N24" s="121">
        <v>329.649</v>
      </c>
      <c r="O24" s="121">
        <v>409.32400000000001</v>
      </c>
      <c r="P24" s="121">
        <v>212.70833333333331</v>
      </c>
      <c r="Q24" s="3">
        <v>0.26237051792828692</v>
      </c>
      <c r="R24" s="3">
        <v>0.28624437313931683</v>
      </c>
      <c r="S24" s="80">
        <v>0.21873439046680021</v>
      </c>
      <c r="T24" s="80">
        <v>0.26262055830042086</v>
      </c>
      <c r="U24" s="80">
        <v>0.21551174407482199</v>
      </c>
      <c r="V24" s="3">
        <v>0.89800000000000002</v>
      </c>
      <c r="W24" s="3">
        <v>0.89063000000000003</v>
      </c>
      <c r="X24" s="4">
        <v>0.13875778509937292</v>
      </c>
      <c r="Y24" s="4">
        <v>0.15032679738562091</v>
      </c>
      <c r="Z24" s="3">
        <v>0.28338600199812197</v>
      </c>
      <c r="AA24" s="4">
        <v>0.2695101035033729</v>
      </c>
      <c r="AB24" s="4">
        <v>0.26860548411095758</v>
      </c>
      <c r="AC24" s="4">
        <v>0.27439182168593934</v>
      </c>
      <c r="AD24" s="5">
        <v>0.56963037513743875</v>
      </c>
      <c r="AE24" s="5">
        <v>0.48824449397017311</v>
      </c>
      <c r="AF24" s="6">
        <v>4.7043532242072459</v>
      </c>
      <c r="AG24" s="6">
        <v>5.4476103376200085</v>
      </c>
      <c r="AH24" s="6">
        <v>4.4817422490363672</v>
      </c>
      <c r="AI24" s="7">
        <v>0.21507149443522366</v>
      </c>
      <c r="AJ24" s="6">
        <v>17.455201727338473</v>
      </c>
      <c r="AK24" s="6">
        <v>20.281083819456452</v>
      </c>
      <c r="AL24" s="6">
        <v>16.333366721716782</v>
      </c>
      <c r="AM24" s="6">
        <v>0.79800902318503264</v>
      </c>
      <c r="AN24" s="6">
        <v>31.43101586679726</v>
      </c>
      <c r="AO24" s="6" t="s">
        <v>289</v>
      </c>
      <c r="AP24" s="6" t="s">
        <v>293</v>
      </c>
      <c r="AQ24" s="6"/>
      <c r="AR24" s="6" t="s">
        <v>357</v>
      </c>
      <c r="AS24" s="119" t="s">
        <v>392</v>
      </c>
    </row>
    <row r="25" spans="1:45" s="122" customFormat="1" ht="12.75" x14ac:dyDescent="0.2">
      <c r="A25" s="119" t="s">
        <v>90</v>
      </c>
      <c r="B25" s="119" t="s">
        <v>221</v>
      </c>
      <c r="C25" s="119">
        <v>80.150000000000006</v>
      </c>
      <c r="D25" s="129"/>
      <c r="E25" s="120">
        <v>59603.395375300002</v>
      </c>
      <c r="F25" s="129"/>
      <c r="G25" s="120">
        <v>57475.895375300002</v>
      </c>
      <c r="H25" s="120">
        <v>6554.7</v>
      </c>
      <c r="I25" s="121">
        <v>7305.9198412698406</v>
      </c>
      <c r="J25" s="121">
        <v>5955.8</v>
      </c>
      <c r="K25" s="121">
        <v>6752.394736842105</v>
      </c>
      <c r="L25" s="121">
        <v>7511.9</v>
      </c>
      <c r="M25" s="121">
        <v>2322.3670000000002</v>
      </c>
      <c r="N25" s="121">
        <v>2151.2570000000001</v>
      </c>
      <c r="O25" s="121">
        <v>2442.1289999999999</v>
      </c>
      <c r="P25" s="121">
        <v>2631.6432748538014</v>
      </c>
      <c r="Q25" s="3">
        <v>0.14375704528877398</v>
      </c>
      <c r="R25" s="3">
        <v>0.1477726413112001</v>
      </c>
      <c r="S25" s="80">
        <v>0.11460781443389334</v>
      </c>
      <c r="T25" s="80">
        <v>0.13375108916385781</v>
      </c>
      <c r="U25" s="80">
        <v>0.11247939327568002</v>
      </c>
      <c r="V25" s="3">
        <v>0.80879000000000001</v>
      </c>
      <c r="W25" s="3">
        <v>0.80744000000000005</v>
      </c>
      <c r="X25" s="4">
        <v>0.34671965891243267</v>
      </c>
      <c r="Y25" s="4">
        <v>0.34147925291870235</v>
      </c>
      <c r="Z25" s="3">
        <v>0.30945733595740454</v>
      </c>
      <c r="AA25" s="4">
        <v>0.31787468935552271</v>
      </c>
      <c r="AB25" s="4">
        <v>0.31859171210213921</v>
      </c>
      <c r="AC25" s="4">
        <v>0.32510137248898413</v>
      </c>
      <c r="AD25" s="5">
        <v>0.45722997726860465</v>
      </c>
      <c r="AE25" s="5">
        <v>0.43248250378941605</v>
      </c>
      <c r="AF25" s="6">
        <v>7.8670306578822427</v>
      </c>
      <c r="AG25" s="6">
        <v>8.5119276368282613</v>
      </c>
      <c r="AH25" s="6">
        <v>7.6513126339940634</v>
      </c>
      <c r="AI25" s="7">
        <v>0.68643056293687599</v>
      </c>
      <c r="AJ25" s="6">
        <v>24.748842614151854</v>
      </c>
      <c r="AK25" s="6">
        <v>26.717354260927447</v>
      </c>
      <c r="AL25" s="6">
        <v>23.535159434780066</v>
      </c>
      <c r="AM25" s="6">
        <v>2.159437620933534</v>
      </c>
      <c r="AN25" s="6">
        <v>21.840306368458325</v>
      </c>
      <c r="AO25" s="6" t="s">
        <v>291</v>
      </c>
      <c r="AP25" s="6" t="s">
        <v>294</v>
      </c>
      <c r="AQ25" s="6"/>
      <c r="AR25" s="6"/>
      <c r="AS25" s="119" t="s">
        <v>392</v>
      </c>
    </row>
    <row r="26" spans="1:45" s="122" customFormat="1" ht="12.75" x14ac:dyDescent="0.2">
      <c r="A26" s="119" t="s">
        <v>29</v>
      </c>
      <c r="B26" s="119" t="s">
        <v>160</v>
      </c>
      <c r="C26" s="119">
        <v>172.1</v>
      </c>
      <c r="D26" s="129"/>
      <c r="E26" s="120">
        <v>10370.4443087</v>
      </c>
      <c r="F26" s="129"/>
      <c r="G26" s="120">
        <v>10154.602308699999</v>
      </c>
      <c r="H26" s="120">
        <v>1066.8040000000001</v>
      </c>
      <c r="I26" s="121">
        <v>1125.2111111111112</v>
      </c>
      <c r="J26" s="121">
        <v>1042.3520000000001</v>
      </c>
      <c r="K26" s="121">
        <v>1076.1818181818182</v>
      </c>
      <c r="L26" s="121">
        <v>1147.909090909091</v>
      </c>
      <c r="M26" s="121">
        <v>337.92099999999999</v>
      </c>
      <c r="N26" s="121">
        <v>321.25200000000001</v>
      </c>
      <c r="O26" s="121">
        <v>351.07800000000003</v>
      </c>
      <c r="P26" s="121">
        <v>403.29285714285714</v>
      </c>
      <c r="Q26" s="3">
        <v>3.4175663058110706E-2</v>
      </c>
      <c r="R26" s="3">
        <v>4.098141501903757E-2</v>
      </c>
      <c r="S26" s="80">
        <v>5.4749617653393701E-2</v>
      </c>
      <c r="T26" s="80">
        <v>3.2455272481674236E-2</v>
      </c>
      <c r="U26" s="80">
        <v>6.6649771920932688E-2</v>
      </c>
      <c r="V26" s="3">
        <v>0.56669000000000003</v>
      </c>
      <c r="W26" s="3">
        <v>0.57434000000000007</v>
      </c>
      <c r="X26" s="4">
        <v>0.35737455651292449</v>
      </c>
      <c r="Y26" s="4">
        <v>0.35821652015522287</v>
      </c>
      <c r="Z26" s="3">
        <v>0.31233197475824992</v>
      </c>
      <c r="AA26" s="4">
        <v>0.30031786627694551</v>
      </c>
      <c r="AB26" s="4">
        <v>0.29851089711099849</v>
      </c>
      <c r="AC26" s="4">
        <v>0.30584129246851982</v>
      </c>
      <c r="AD26" s="5">
        <v>0.35331338977728749</v>
      </c>
      <c r="AE26" s="5">
        <v>0.35506748393033921</v>
      </c>
      <c r="AF26" s="6">
        <v>9.0246196544154671</v>
      </c>
      <c r="AG26" s="6">
        <v>9.43576832198851</v>
      </c>
      <c r="AH26" s="6">
        <v>8.8461729148412118</v>
      </c>
      <c r="AI26" s="7">
        <v>1.648343868179702</v>
      </c>
      <c r="AJ26" s="6">
        <v>30.050225670201023</v>
      </c>
      <c r="AK26" s="6">
        <v>31.609460201648549</v>
      </c>
      <c r="AL26" s="6">
        <v>28.92406333834646</v>
      </c>
      <c r="AM26" s="6">
        <v>5.4886640232707329</v>
      </c>
      <c r="AN26" s="6">
        <v>25.179226779865747</v>
      </c>
      <c r="AO26" s="6" t="s">
        <v>290</v>
      </c>
      <c r="AP26" s="6" t="s">
        <v>293</v>
      </c>
      <c r="AQ26" s="6"/>
      <c r="AR26" s="6" t="s">
        <v>353</v>
      </c>
      <c r="AS26" s="119" t="s">
        <v>393</v>
      </c>
    </row>
    <row r="27" spans="1:45" s="122" customFormat="1" ht="12.75" x14ac:dyDescent="0.2">
      <c r="A27" s="119" t="s">
        <v>6</v>
      </c>
      <c r="B27" s="119" t="s">
        <v>137</v>
      </c>
      <c r="C27" s="119">
        <v>649.73</v>
      </c>
      <c r="D27" s="129"/>
      <c r="E27" s="120">
        <v>181147.97265000001</v>
      </c>
      <c r="F27" s="129"/>
      <c r="G27" s="120">
        <v>183234.97265000001</v>
      </c>
      <c r="H27" s="120">
        <v>18831</v>
      </c>
      <c r="I27" s="121">
        <v>21120.444444444442</v>
      </c>
      <c r="J27" s="121">
        <v>18831</v>
      </c>
      <c r="K27" s="121">
        <v>19652.517826086962</v>
      </c>
      <c r="L27" s="121">
        <v>22001.312410373761</v>
      </c>
      <c r="M27" s="121">
        <v>6857.75</v>
      </c>
      <c r="N27" s="121">
        <v>6172.0006666666668</v>
      </c>
      <c r="O27" s="121">
        <v>7180.9613333333327</v>
      </c>
      <c r="P27" s="121">
        <v>9027.25</v>
      </c>
      <c r="Q27" s="3">
        <v>0.20320351758793964</v>
      </c>
      <c r="R27" s="3">
        <v>0.15634019035922628</v>
      </c>
      <c r="S27" s="80">
        <v>0.12157848465001542</v>
      </c>
      <c r="T27" s="80">
        <v>4.3625820513353508E-2</v>
      </c>
      <c r="U27" s="80">
        <v>0.11951621695867298</v>
      </c>
      <c r="V27" s="3">
        <v>0.81368601416666664</v>
      </c>
      <c r="W27" s="3">
        <v>0.8276300000000002</v>
      </c>
      <c r="X27" s="4">
        <v>0.40298347876257284</v>
      </c>
      <c r="Y27" s="4">
        <v>0.42017069228597093</v>
      </c>
      <c r="Z27" s="3">
        <v>0.32303117200361109</v>
      </c>
      <c r="AA27" s="4">
        <v>0.32469723911533854</v>
      </c>
      <c r="AB27" s="4">
        <v>0.31405648483747395</v>
      </c>
      <c r="AC27" s="4">
        <v>0.32638786265984127</v>
      </c>
      <c r="AD27" s="5">
        <v>0.47937136236283739</v>
      </c>
      <c r="AE27" s="5">
        <v>0.44627572376535396</v>
      </c>
      <c r="AF27" s="6">
        <v>8.6757157564550429</v>
      </c>
      <c r="AG27" s="6">
        <v>9.3237403100976692</v>
      </c>
      <c r="AH27" s="6">
        <v>8.3283655643925822</v>
      </c>
      <c r="AI27" s="7">
        <v>0.71358972612872928</v>
      </c>
      <c r="AJ27" s="6">
        <v>26.719401064489084</v>
      </c>
      <c r="AK27" s="6">
        <v>29.688099944577669</v>
      </c>
      <c r="AL27" s="6">
        <v>25.516774724776873</v>
      </c>
      <c r="AM27" s="6">
        <v>2.1977080189315958</v>
      </c>
      <c r="AN27" s="6">
        <v>20.297983621811738</v>
      </c>
      <c r="AO27" s="6" t="s">
        <v>289</v>
      </c>
      <c r="AP27" s="6" t="s">
        <v>293</v>
      </c>
      <c r="AQ27" s="6"/>
      <c r="AR27" s="6"/>
      <c r="AS27" s="119" t="s">
        <v>392</v>
      </c>
    </row>
    <row r="28" spans="1:45" s="122" customFormat="1" ht="12.75" x14ac:dyDescent="0.2">
      <c r="A28" s="119" t="s">
        <v>39</v>
      </c>
      <c r="B28" s="119" t="s">
        <v>170</v>
      </c>
      <c r="C28" s="119">
        <v>20.58</v>
      </c>
      <c r="D28" s="129"/>
      <c r="E28" s="120">
        <v>5041.6261866599998</v>
      </c>
      <c r="F28" s="129"/>
      <c r="G28" s="120">
        <v>4496.2401866599994</v>
      </c>
      <c r="H28" s="120">
        <v>570.67700000000002</v>
      </c>
      <c r="I28" s="121">
        <v>675.33333333333326</v>
      </c>
      <c r="J28" s="121">
        <v>489.40699999999998</v>
      </c>
      <c r="K28" s="121">
        <v>595.16666666666663</v>
      </c>
      <c r="L28" s="121">
        <v>705.21052631578948</v>
      </c>
      <c r="M28" s="121">
        <v>112.06100000000001</v>
      </c>
      <c r="N28" s="121">
        <v>90.085000000000008</v>
      </c>
      <c r="O28" s="121">
        <v>115.166</v>
      </c>
      <c r="P28" s="121">
        <v>40.58625</v>
      </c>
      <c r="Q28" s="3">
        <v>0.19485054979092475</v>
      </c>
      <c r="R28" s="3">
        <v>0.24188185216940933</v>
      </c>
      <c r="S28" s="80">
        <v>0.18338978675035666</v>
      </c>
      <c r="T28" s="80">
        <v>0.21609757659099005</v>
      </c>
      <c r="U28" s="80">
        <v>0.18489587171513211</v>
      </c>
      <c r="V28" s="3">
        <v>0.69957999999999998</v>
      </c>
      <c r="W28" s="3">
        <v>0.71686000000000005</v>
      </c>
      <c r="X28" s="4">
        <v>2.9947913749649963E-2</v>
      </c>
      <c r="Y28" s="4">
        <v>6.1940368684230161E-2</v>
      </c>
      <c r="Z28" s="3">
        <v>0.16590470616478326</v>
      </c>
      <c r="AA28" s="4">
        <v>0.1659343534057256</v>
      </c>
      <c r="AB28" s="4">
        <v>0.1513609633155979</v>
      </c>
      <c r="AC28" s="4">
        <v>0.16330726173595045</v>
      </c>
      <c r="AD28" s="5">
        <v>0.40778655833419258</v>
      </c>
      <c r="AE28" s="5">
        <v>0.34932414015608226</v>
      </c>
      <c r="AF28" s="6">
        <v>6.6578087660315894</v>
      </c>
      <c r="AG28" s="6">
        <v>7.5545900643965274</v>
      </c>
      <c r="AH28" s="6">
        <v>6.3757417379311878</v>
      </c>
      <c r="AI28" s="7">
        <v>0.36304141490140218</v>
      </c>
      <c r="AJ28" s="6">
        <v>40.123148880163477</v>
      </c>
      <c r="AK28" s="6">
        <v>49.911086048287714</v>
      </c>
      <c r="AL28" s="6">
        <v>39.041385362520181</v>
      </c>
      <c r="AM28" s="6">
        <v>2.1878616901813617</v>
      </c>
      <c r="AN28" s="6">
        <v>110.78235083704455</v>
      </c>
      <c r="AO28" s="6" t="s">
        <v>289</v>
      </c>
      <c r="AP28" s="6" t="s">
        <v>293</v>
      </c>
      <c r="AQ28" s="6"/>
      <c r="AR28" s="6" t="s">
        <v>354</v>
      </c>
      <c r="AS28" s="119" t="s">
        <v>393</v>
      </c>
    </row>
    <row r="29" spans="1:45" s="122" customFormat="1" ht="12.75" x14ac:dyDescent="0.2">
      <c r="A29" s="119" t="s">
        <v>2</v>
      </c>
      <c r="B29" s="119" t="s">
        <v>133</v>
      </c>
      <c r="C29" s="119">
        <v>220.49</v>
      </c>
      <c r="D29" s="129"/>
      <c r="E29" s="120">
        <v>628571.26147645002</v>
      </c>
      <c r="F29" s="129"/>
      <c r="G29" s="120">
        <v>723487.26147645002</v>
      </c>
      <c r="H29" s="120">
        <v>59018</v>
      </c>
      <c r="I29" s="121">
        <v>70550.191397849456</v>
      </c>
      <c r="J29" s="121">
        <v>57399</v>
      </c>
      <c r="K29" s="121">
        <v>62113.737634408601</v>
      </c>
      <c r="L29" s="121">
        <v>76012.792635235732</v>
      </c>
      <c r="M29" s="121">
        <v>-8910.4629999999997</v>
      </c>
      <c r="N29" s="121">
        <v>-9247.6196666666656</v>
      </c>
      <c r="O29" s="121">
        <v>-10116.317666666666</v>
      </c>
      <c r="P29" s="121">
        <v>38527.414285714287</v>
      </c>
      <c r="Q29" s="3">
        <v>0.12166528894566775</v>
      </c>
      <c r="R29" s="3">
        <v>9.6683080925392545E-2</v>
      </c>
      <c r="S29" s="80">
        <v>0.19540125720711399</v>
      </c>
      <c r="T29" s="80">
        <v>8.2139717319266836E-2</v>
      </c>
      <c r="U29" s="80">
        <v>0.22376780934734142</v>
      </c>
      <c r="V29" s="3">
        <v>0.6913912499999999</v>
      </c>
      <c r="W29" s="3">
        <v>0.65862833333333337</v>
      </c>
      <c r="X29" s="4">
        <v>0.42861976867830709</v>
      </c>
      <c r="Y29" s="4">
        <v>0.41371525208362242</v>
      </c>
      <c r="Z29" s="3">
        <v>-9.9630621166423794E-2</v>
      </c>
      <c r="AA29" s="4">
        <v>-0.12629962900811653</v>
      </c>
      <c r="AB29" s="4">
        <v>-0.1488820350998141</v>
      </c>
      <c r="AC29" s="4">
        <v>-0.13308704121965448</v>
      </c>
      <c r="AD29" s="5">
        <v>-2.947540241031249E-3</v>
      </c>
      <c r="AE29" s="5">
        <v>6.9101628198997456E-2</v>
      </c>
      <c r="AF29" s="6">
        <v>10.254929818638361</v>
      </c>
      <c r="AG29" s="6">
        <v>11.647781779528048</v>
      </c>
      <c r="AH29" s="6">
        <v>9.5179671262476084</v>
      </c>
      <c r="AI29" s="7">
        <v>0.524813911906858</v>
      </c>
      <c r="AJ29" s="6">
        <v>-81.195248942333308</v>
      </c>
      <c r="AK29" s="6">
        <v>-78.234971544545942</v>
      </c>
      <c r="AL29" s="6">
        <v>-71.516858734116795</v>
      </c>
      <c r="AM29" s="6">
        <v>-4.155308420368609</v>
      </c>
      <c r="AN29" s="6">
        <v>18.778505510677739</v>
      </c>
      <c r="AO29" s="6" t="s">
        <v>289</v>
      </c>
      <c r="AP29" s="6" t="s">
        <v>293</v>
      </c>
      <c r="AQ29" s="6"/>
      <c r="AR29" s="6"/>
      <c r="AS29" s="119" t="s">
        <v>393</v>
      </c>
    </row>
    <row r="30" spans="1:45" s="122" customFormat="1" ht="12.75" x14ac:dyDescent="0.2">
      <c r="A30" s="119" t="s">
        <v>12</v>
      </c>
      <c r="B30" s="119" t="s">
        <v>143</v>
      </c>
      <c r="C30" s="119">
        <v>383.82</v>
      </c>
      <c r="D30" s="129"/>
      <c r="E30" s="120">
        <v>71294.055670859991</v>
      </c>
      <c r="F30" s="129"/>
      <c r="G30" s="120">
        <v>83840.314670859996</v>
      </c>
      <c r="H30" s="120">
        <v>6435.3040000000001</v>
      </c>
      <c r="I30" s="121">
        <v>9311.128947368421</v>
      </c>
      <c r="J30" s="121">
        <v>6127.4359999999997</v>
      </c>
      <c r="K30" s="121">
        <v>7642.1397191075512</v>
      </c>
      <c r="L30" s="121">
        <v>9765.8042011732214</v>
      </c>
      <c r="M30" s="121">
        <v>2113.2370000000001</v>
      </c>
      <c r="N30" s="121">
        <v>1325.3626666666669</v>
      </c>
      <c r="O30" s="121">
        <v>2613.9086666666667</v>
      </c>
      <c r="P30" s="121">
        <v>3761.4545454545455</v>
      </c>
      <c r="Q30" s="3">
        <v>0.14025111600925189</v>
      </c>
      <c r="R30" s="3">
        <v>7.9960455344192313E-2</v>
      </c>
      <c r="S30" s="80">
        <v>0.44688253225774899</v>
      </c>
      <c r="T30" s="80">
        <v>0.24720025131352674</v>
      </c>
      <c r="U30" s="80">
        <v>0.27788872751906091</v>
      </c>
      <c r="V30" s="3">
        <v>0.82370499999999991</v>
      </c>
      <c r="W30" s="3">
        <v>0.82858833333333337</v>
      </c>
      <c r="X30" s="4">
        <v>0.37636182634091286</v>
      </c>
      <c r="Y30" s="4">
        <v>0.3909969851270696</v>
      </c>
      <c r="Z30" s="3">
        <v>0.20238220292312531</v>
      </c>
      <c r="AA30" s="4">
        <v>0.22695819292646124</v>
      </c>
      <c r="AB30" s="4">
        <v>0.17342821714615847</v>
      </c>
      <c r="AC30" s="4">
        <v>0.26765933586428481</v>
      </c>
      <c r="AD30" s="5">
        <v>0.28234265826731764</v>
      </c>
      <c r="AE30" s="5">
        <v>0.67384072518421023</v>
      </c>
      <c r="AF30" s="6">
        <v>9.0043124893631248</v>
      </c>
      <c r="AG30" s="6">
        <v>10.970790610021831</v>
      </c>
      <c r="AH30" s="6">
        <v>8.5850906841638075</v>
      </c>
      <c r="AI30" s="7">
        <v>0.20149170843334052</v>
      </c>
      <c r="AJ30" s="6">
        <v>39.673881666306237</v>
      </c>
      <c r="AK30" s="6">
        <v>63.258394686581369</v>
      </c>
      <c r="AL30" s="6">
        <v>32.074691721258816</v>
      </c>
      <c r="AM30" s="6">
        <v>0.88779217808906175</v>
      </c>
      <c r="AN30" s="6">
        <v>22.289333463347351</v>
      </c>
      <c r="AO30" s="6" t="s">
        <v>290</v>
      </c>
      <c r="AP30" s="6" t="s">
        <v>293</v>
      </c>
      <c r="AQ30" s="6"/>
      <c r="AR30" s="6"/>
      <c r="AS30" s="119" t="s">
        <v>393</v>
      </c>
    </row>
    <row r="31" spans="1:45" s="122" customFormat="1" ht="12.75" x14ac:dyDescent="0.2">
      <c r="A31" s="119" t="s">
        <v>17</v>
      </c>
      <c r="B31" s="119" t="s">
        <v>148</v>
      </c>
      <c r="C31" s="119">
        <v>66.81</v>
      </c>
      <c r="D31" s="129"/>
      <c r="E31" s="120">
        <v>28315.600666709997</v>
      </c>
      <c r="F31" s="129"/>
      <c r="G31" s="120">
        <v>27566.40066671</v>
      </c>
      <c r="H31" s="120">
        <v>3056.5</v>
      </c>
      <c r="I31" s="121">
        <v>3707.4822841417276</v>
      </c>
      <c r="J31" s="121">
        <v>2736.2</v>
      </c>
      <c r="K31" s="121">
        <v>3238.8888888888887</v>
      </c>
      <c r="L31" s="121">
        <v>3825.5789473684213</v>
      </c>
      <c r="M31" s="121">
        <v>470.56799999999998</v>
      </c>
      <c r="N31" s="121">
        <v>72.841000000000008</v>
      </c>
      <c r="O31" s="121">
        <v>560.37700000000007</v>
      </c>
      <c r="P31" s="121">
        <v>685.88125000000002</v>
      </c>
      <c r="Q31" s="3">
        <v>0.20358071036673397</v>
      </c>
      <c r="R31" s="3">
        <v>0.1460872173684804</v>
      </c>
      <c r="S31" s="80">
        <v>0.21298291645402512</v>
      </c>
      <c r="T31" s="80">
        <v>0.1837178893680611</v>
      </c>
      <c r="U31" s="80">
        <v>0.18113929764376646</v>
      </c>
      <c r="V31" s="3">
        <v>0.79100000000000004</v>
      </c>
      <c r="W31" s="3">
        <v>0.79769000000000001</v>
      </c>
      <c r="X31" s="4">
        <v>-2.9099485420240139E-2</v>
      </c>
      <c r="Y31" s="4">
        <v>9.1576465894395068E-2</v>
      </c>
      <c r="Z31" s="3">
        <v>-1.2694258138393583E-2</v>
      </c>
      <c r="AA31" s="4">
        <v>0.12692387014573023</v>
      </c>
      <c r="AB31" s="4">
        <v>2.2489502572898803E-2</v>
      </c>
      <c r="AC31" s="4">
        <v>0.14648161956910546</v>
      </c>
      <c r="AD31" s="5">
        <v>0.13339295923008682</v>
      </c>
      <c r="AE31" s="5">
        <v>0.33990678659975537</v>
      </c>
      <c r="AF31" s="6">
        <v>7.4353425192675058</v>
      </c>
      <c r="AG31" s="6">
        <v>8.5110671012140653</v>
      </c>
      <c r="AH31" s="6">
        <v>7.2058114721884543</v>
      </c>
      <c r="AI31" s="7">
        <v>0.34910511336117012</v>
      </c>
      <c r="AJ31" s="6">
        <v>58.581120404936165</v>
      </c>
      <c r="AK31" s="6">
        <v>378.44621390027589</v>
      </c>
      <c r="AL31" s="6">
        <v>49.192598316329892</v>
      </c>
      <c r="AM31" s="6">
        <v>2.7505079459075579</v>
      </c>
      <c r="AN31" s="6">
        <v>40.191214830132765</v>
      </c>
      <c r="AO31" s="6" t="s">
        <v>290</v>
      </c>
      <c r="AP31" s="6" t="s">
        <v>293</v>
      </c>
      <c r="AQ31" s="6"/>
      <c r="AR31" s="6" t="s">
        <v>347</v>
      </c>
      <c r="AS31" s="119" t="s">
        <v>392</v>
      </c>
    </row>
    <row r="32" spans="1:45" s="122" customFormat="1" ht="12.75" x14ac:dyDescent="0.2">
      <c r="A32" s="119" t="s">
        <v>3</v>
      </c>
      <c r="B32" s="119" t="s">
        <v>134</v>
      </c>
      <c r="C32" s="119">
        <v>237.99</v>
      </c>
      <c r="D32" s="129"/>
      <c r="E32" s="120">
        <v>292371.72217368003</v>
      </c>
      <c r="F32" s="129"/>
      <c r="G32" s="120">
        <v>252242.69846577957</v>
      </c>
      <c r="H32" s="120">
        <v>36492</v>
      </c>
      <c r="I32" s="121">
        <v>39658.088888888895</v>
      </c>
      <c r="J32" s="121">
        <v>34176</v>
      </c>
      <c r="K32" s="121">
        <v>36984.111111111117</v>
      </c>
      <c r="L32" s="121">
        <v>40916.81481481481</v>
      </c>
      <c r="M32" s="121">
        <v>8020.71</v>
      </c>
      <c r="N32" s="121">
        <v>8020.71</v>
      </c>
      <c r="O32" s="121">
        <v>9453.86</v>
      </c>
      <c r="P32" s="121">
        <v>12696.964285714284</v>
      </c>
      <c r="Q32" s="3">
        <v>7.1546635182998752E-2</v>
      </c>
      <c r="R32" s="3">
        <v>9.6942916403643248E-2</v>
      </c>
      <c r="S32" s="80">
        <v>8.6761177487912233E-2</v>
      </c>
      <c r="T32" s="80">
        <v>8.2166172492717626E-2</v>
      </c>
      <c r="U32" s="80">
        <v>0.10633495264733273</v>
      </c>
      <c r="V32" s="3">
        <v>0.73799999999999999</v>
      </c>
      <c r="W32" s="3">
        <v>0.73699999999999999</v>
      </c>
      <c r="X32" s="4">
        <v>0.28431804047984566</v>
      </c>
      <c r="Y32" s="4">
        <v>0.28967086378917428</v>
      </c>
      <c r="Z32" s="3">
        <v>0.17381891921517045</v>
      </c>
      <c r="AA32" s="4">
        <v>0.20224650820849771</v>
      </c>
      <c r="AB32" s="4">
        <v>0.2168690759094746</v>
      </c>
      <c r="AC32" s="4">
        <v>0.23105073165609724</v>
      </c>
      <c r="AD32" s="5">
        <v>0.27076183561881373</v>
      </c>
      <c r="AE32" s="5">
        <v>0.28900768569640994</v>
      </c>
      <c r="AF32" s="6">
        <v>6.3604350469962014</v>
      </c>
      <c r="AG32" s="6">
        <v>6.8202990659412777</v>
      </c>
      <c r="AH32" s="6">
        <v>6.1647686802456017</v>
      </c>
      <c r="AI32" s="7">
        <v>0.73309690245759418</v>
      </c>
      <c r="AJ32" s="6">
        <v>31.448923906459598</v>
      </c>
      <c r="AK32" s="6">
        <v>31.448923906459598</v>
      </c>
      <c r="AL32" s="6">
        <v>26.681450589048236</v>
      </c>
      <c r="AM32" s="6">
        <v>3.6247691441072396</v>
      </c>
      <c r="AN32" s="6">
        <v>19.866378512979281</v>
      </c>
      <c r="AO32" s="6" t="s">
        <v>289</v>
      </c>
      <c r="AP32" s="6" t="s">
        <v>293</v>
      </c>
      <c r="AQ32" s="6"/>
      <c r="AR32" s="6"/>
      <c r="AS32" s="119" t="s">
        <v>393</v>
      </c>
    </row>
    <row r="33" spans="1:45" s="122" customFormat="1" ht="12.75" x14ac:dyDescent="0.2">
      <c r="A33" s="119" t="s">
        <v>117</v>
      </c>
      <c r="B33" s="119" t="s">
        <v>248</v>
      </c>
      <c r="C33" s="119">
        <v>58.09</v>
      </c>
      <c r="D33" s="129">
        <v>122.8</v>
      </c>
      <c r="E33" s="124">
        <v>7133.4520000000002</v>
      </c>
      <c r="F33" s="129">
        <v>651</v>
      </c>
      <c r="G33" s="124">
        <v>6482.4520000000002</v>
      </c>
      <c r="H33" s="120">
        <v>502.61200000000002</v>
      </c>
      <c r="I33" s="121">
        <v>587.65441176470586</v>
      </c>
      <c r="J33" s="121">
        <v>428.488</v>
      </c>
      <c r="K33" s="121">
        <v>524.15384615384619</v>
      </c>
      <c r="L33" s="121">
        <v>611.05555555555554</v>
      </c>
      <c r="M33" s="121">
        <v>136.48699999999999</v>
      </c>
      <c r="N33" s="121">
        <v>124.98700000000001</v>
      </c>
      <c r="O33" s="121">
        <v>150.23699999999999</v>
      </c>
      <c r="P33" s="121">
        <v>116.29999999999998</v>
      </c>
      <c r="Q33" s="3">
        <v>0.25538255575117375</v>
      </c>
      <c r="R33" s="3">
        <v>0.22687040788927679</v>
      </c>
      <c r="S33" s="80">
        <v>0.16920091793412384</v>
      </c>
      <c r="T33" s="80">
        <v>0.22326376970614392</v>
      </c>
      <c r="U33" s="80">
        <v>0.1657942797508396</v>
      </c>
      <c r="V33" s="3">
        <v>0.83216999999999997</v>
      </c>
      <c r="W33" s="3">
        <v>0.82722000000000007</v>
      </c>
      <c r="X33" s="4">
        <v>0.16783049603756972</v>
      </c>
      <c r="Y33" s="4">
        <v>0.1752802982089281</v>
      </c>
      <c r="Z33" s="3">
        <v>0.28033154799328314</v>
      </c>
      <c r="AA33" s="4">
        <v>0.23225725403836289</v>
      </c>
      <c r="AB33" s="4">
        <v>0.23845479894335192</v>
      </c>
      <c r="AC33" s="4">
        <v>0.24586471497408854</v>
      </c>
      <c r="AD33" s="5">
        <v>0.5072019558825599</v>
      </c>
      <c r="AE33" s="5">
        <v>0.40145817197248673</v>
      </c>
      <c r="AF33" s="6">
        <v>11.031061573303639</v>
      </c>
      <c r="AG33" s="6">
        <v>12.36746052245377</v>
      </c>
      <c r="AH33" s="6">
        <v>10.608613146649697</v>
      </c>
      <c r="AI33" s="7">
        <v>0.65195045676988816</v>
      </c>
      <c r="AJ33" s="6">
        <v>47.495014177174383</v>
      </c>
      <c r="AK33" s="6">
        <v>51.865009961035945</v>
      </c>
      <c r="AL33" s="6">
        <v>43.148172554031298</v>
      </c>
      <c r="AM33" s="6">
        <v>2.8070187063444862</v>
      </c>
      <c r="AN33" s="6">
        <v>55.739054170249368</v>
      </c>
      <c r="AO33" s="6" t="s">
        <v>291</v>
      </c>
      <c r="AP33" s="6" t="s">
        <v>294</v>
      </c>
      <c r="AQ33" s="6"/>
      <c r="AR33" s="6" t="s">
        <v>364</v>
      </c>
      <c r="AS33" s="119" t="s">
        <v>393</v>
      </c>
    </row>
    <row r="34" spans="1:45" s="122" customFormat="1" ht="12.75" x14ac:dyDescent="0.2">
      <c r="A34" s="119" t="s">
        <v>14</v>
      </c>
      <c r="B34" s="119" t="s">
        <v>145</v>
      </c>
      <c r="C34" s="119">
        <v>292.23</v>
      </c>
      <c r="D34" s="129"/>
      <c r="E34" s="120">
        <v>62244.990000000005</v>
      </c>
      <c r="F34" s="129"/>
      <c r="G34" s="120">
        <v>62460.990000000005</v>
      </c>
      <c r="H34" s="120">
        <v>6605</v>
      </c>
      <c r="I34" s="121">
        <v>7456.2307692307686</v>
      </c>
      <c r="J34" s="121">
        <v>6131</v>
      </c>
      <c r="K34" s="121">
        <v>6991.1337792642144</v>
      </c>
      <c r="L34" s="121">
        <v>7791.7411298531333</v>
      </c>
      <c r="M34" s="121">
        <v>2324.085</v>
      </c>
      <c r="N34" s="121">
        <v>2166.6126666666669</v>
      </c>
      <c r="O34" s="121">
        <v>2520.8780000000002</v>
      </c>
      <c r="P34" s="121">
        <v>2915.131868131868</v>
      </c>
      <c r="Q34" s="3">
        <v>0.17142857142857149</v>
      </c>
      <c r="R34" s="3">
        <v>0.13781223083548666</v>
      </c>
      <c r="S34" s="80">
        <v>0.12887672509171355</v>
      </c>
      <c r="T34" s="80">
        <v>0.14029257531629669</v>
      </c>
      <c r="U34" s="80">
        <v>0.11451752689435435</v>
      </c>
      <c r="V34" s="3">
        <v>0.92634541666666681</v>
      </c>
      <c r="W34" s="3">
        <v>0.92831166666666676</v>
      </c>
      <c r="X34" s="4">
        <v>0.31834302374069268</v>
      </c>
      <c r="Y34" s="4">
        <v>0.37812883550656856</v>
      </c>
      <c r="Z34" s="3">
        <v>0.28523845571536716</v>
      </c>
      <c r="AA34" s="4">
        <v>0.31169703190929632</v>
      </c>
      <c r="AB34" s="4">
        <v>0.30990862642235023</v>
      </c>
      <c r="AC34" s="4">
        <v>0.32353205246277428</v>
      </c>
      <c r="AD34" s="5">
        <v>0.42305068655085382</v>
      </c>
      <c r="AE34" s="5">
        <v>0.44057375700100987</v>
      </c>
      <c r="AF34" s="6">
        <v>8.377019426189765</v>
      </c>
      <c r="AG34" s="6">
        <v>8.9343148010212659</v>
      </c>
      <c r="AH34" s="6">
        <v>8.0163071332911873</v>
      </c>
      <c r="AI34" s="7">
        <v>0.65000250590076369</v>
      </c>
      <c r="AJ34" s="6">
        <v>26.875518752541325</v>
      </c>
      <c r="AK34" s="6">
        <v>28.82886773485739</v>
      </c>
      <c r="AL34" s="6">
        <v>24.777474356156862</v>
      </c>
      <c r="AM34" s="6">
        <v>2.0853663633534829</v>
      </c>
      <c r="AN34" s="6">
        <v>21.426471537298749</v>
      </c>
      <c r="AO34" s="6" t="s">
        <v>290</v>
      </c>
      <c r="AP34" s="6" t="s">
        <v>293</v>
      </c>
      <c r="AQ34" s="6"/>
      <c r="AR34" s="6" t="s">
        <v>346</v>
      </c>
      <c r="AS34" s="119" t="s">
        <v>393</v>
      </c>
    </row>
    <row r="35" spans="1:45" s="122" customFormat="1" ht="12.75" x14ac:dyDescent="0.2">
      <c r="A35" s="119" t="s">
        <v>116</v>
      </c>
      <c r="B35" s="119" t="s">
        <v>247</v>
      </c>
      <c r="C35" s="119">
        <v>32.94</v>
      </c>
      <c r="D35" s="129"/>
      <c r="E35" s="120">
        <v>3883.5373255199993</v>
      </c>
      <c r="F35" s="129"/>
      <c r="G35" s="120">
        <v>3300.6313255199998</v>
      </c>
      <c r="H35" s="120">
        <v>608.67700000000002</v>
      </c>
      <c r="I35" s="121">
        <v>693.5763888888888</v>
      </c>
      <c r="J35" s="121">
        <v>550.95000000000005</v>
      </c>
      <c r="K35" s="121">
        <v>618.89473684210532</v>
      </c>
      <c r="L35" s="121">
        <v>718.42105263157896</v>
      </c>
      <c r="M35" s="121">
        <v>130.00900000000001</v>
      </c>
      <c r="N35" s="121">
        <v>122.901</v>
      </c>
      <c r="O35" s="121">
        <v>149.529</v>
      </c>
      <c r="P35" s="121">
        <v>27.076892857142855</v>
      </c>
      <c r="Q35" s="3">
        <v>9.1235108193532533E-2</v>
      </c>
      <c r="R35" s="3">
        <v>0.11370177573256983</v>
      </c>
      <c r="S35" s="80">
        <v>0.13948184158246302</v>
      </c>
      <c r="T35" s="80">
        <v>0.12332287293239896</v>
      </c>
      <c r="U35" s="80">
        <v>0.1608129943022365</v>
      </c>
      <c r="V35" s="3">
        <v>0.80147000000000002</v>
      </c>
      <c r="W35" s="3">
        <v>0.80376000000000003</v>
      </c>
      <c r="X35" s="4">
        <v>-1.0481947633491131E-2</v>
      </c>
      <c r="Y35" s="4">
        <v>4.4926300366300367E-2</v>
      </c>
      <c r="Z35" s="3">
        <v>0.22012003082094445</v>
      </c>
      <c r="AA35" s="4">
        <v>0.187447269086358</v>
      </c>
      <c r="AB35" s="4">
        <v>0.19858142699209114</v>
      </c>
      <c r="AC35" s="4">
        <v>0.20813560439560438</v>
      </c>
      <c r="AD35" s="5">
        <v>0.33382180655351429</v>
      </c>
      <c r="AE35" s="5">
        <v>0.32692911066882102</v>
      </c>
      <c r="AF35" s="6">
        <v>4.7588576808498626</v>
      </c>
      <c r="AG35" s="6">
        <v>5.3331061471961894</v>
      </c>
      <c r="AH35" s="6">
        <v>4.5942853615296704</v>
      </c>
      <c r="AI35" s="7">
        <v>0.34118116213975991</v>
      </c>
      <c r="AJ35" s="6">
        <v>25.387714123791426</v>
      </c>
      <c r="AK35" s="6">
        <v>26.856016838919128</v>
      </c>
      <c r="AL35" s="6">
        <v>22.073519688622273</v>
      </c>
      <c r="AM35" s="6">
        <v>1.8201447468545189</v>
      </c>
      <c r="AN35" s="6">
        <v>121.8984520466977</v>
      </c>
      <c r="AO35" s="6" t="s">
        <v>291</v>
      </c>
      <c r="AP35" s="6" t="s">
        <v>294</v>
      </c>
      <c r="AQ35" s="6"/>
      <c r="AR35" s="6" t="s">
        <v>335</v>
      </c>
      <c r="AS35" s="119" t="s">
        <v>393</v>
      </c>
    </row>
    <row r="36" spans="1:45" s="122" customFormat="1" ht="12.75" x14ac:dyDescent="0.2">
      <c r="A36" s="119" t="s">
        <v>15</v>
      </c>
      <c r="B36" s="119" t="s">
        <v>146</v>
      </c>
      <c r="C36" s="119">
        <v>148.75</v>
      </c>
      <c r="D36" s="129"/>
      <c r="E36" s="120">
        <v>39137.775827499994</v>
      </c>
      <c r="F36" s="129"/>
      <c r="G36" s="120">
        <v>37585.141827499996</v>
      </c>
      <c r="H36" s="120">
        <v>5460.076</v>
      </c>
      <c r="I36" s="121">
        <v>6592.4102564102577</v>
      </c>
      <c r="J36" s="121">
        <v>5215.3040000000001</v>
      </c>
      <c r="K36" s="121">
        <v>5715.2668461538469</v>
      </c>
      <c r="L36" s="121">
        <v>6872.0064102564093</v>
      </c>
      <c r="M36" s="121">
        <v>1891.8980000000001</v>
      </c>
      <c r="N36" s="121">
        <v>1534.4450000000002</v>
      </c>
      <c r="O36" s="121">
        <v>1969.556</v>
      </c>
      <c r="P36" s="121">
        <v>1795.153846153846</v>
      </c>
      <c r="Q36" s="3">
        <v>0.20607502561499147</v>
      </c>
      <c r="R36" s="3">
        <v>0.19512875800927584</v>
      </c>
      <c r="S36" s="80">
        <v>0.20738433978029924</v>
      </c>
      <c r="T36" s="80">
        <v>9.5864564396216823E-2</v>
      </c>
      <c r="U36" s="80">
        <v>0.20239467294182489</v>
      </c>
      <c r="V36" s="3">
        <v>0.85779499999999997</v>
      </c>
      <c r="W36" s="3">
        <v>0.86193500000000012</v>
      </c>
      <c r="X36" s="4">
        <v>0.24227670155625947</v>
      </c>
      <c r="Y36" s="4">
        <v>0.2629975719031038</v>
      </c>
      <c r="Z36" s="3">
        <v>0.26662724108602159</v>
      </c>
      <c r="AA36" s="4">
        <v>0.28698122938577381</v>
      </c>
      <c r="AB36" s="4">
        <v>0.26848177719516669</v>
      </c>
      <c r="AC36" s="4">
        <v>0.28660566978815022</v>
      </c>
      <c r="AD36" s="5">
        <v>0.46175599909529741</v>
      </c>
      <c r="AE36" s="5">
        <v>0.49436556916607305</v>
      </c>
      <c r="AF36" s="6">
        <v>5.7012747031259705</v>
      </c>
      <c r="AG36" s="6">
        <v>6.5762706867822525</v>
      </c>
      <c r="AH36" s="6">
        <v>5.4693112293091728</v>
      </c>
      <c r="AI36" s="7">
        <v>0.27491346304961312</v>
      </c>
      <c r="AJ36" s="6">
        <v>19.866367968833412</v>
      </c>
      <c r="AK36" s="6">
        <v>24.4942906572083</v>
      </c>
      <c r="AL36" s="6">
        <v>19.083053148780738</v>
      </c>
      <c r="AM36" s="6">
        <v>0.9579492834357517</v>
      </c>
      <c r="AN36" s="6">
        <v>20.937003203389466</v>
      </c>
      <c r="AO36" s="6" t="s">
        <v>289</v>
      </c>
      <c r="AP36" s="6" t="s">
        <v>293</v>
      </c>
      <c r="AQ36" s="6"/>
      <c r="AR36" s="6" t="s">
        <v>340</v>
      </c>
      <c r="AS36" s="119" t="s">
        <v>393</v>
      </c>
    </row>
    <row r="37" spans="1:45" s="122" customFormat="1" ht="12.75" x14ac:dyDescent="0.2">
      <c r="A37" s="119" t="s">
        <v>18</v>
      </c>
      <c r="B37" s="119" t="s">
        <v>149</v>
      </c>
      <c r="C37" s="119">
        <v>368.33</v>
      </c>
      <c r="D37" s="129"/>
      <c r="E37" s="120">
        <v>19295.169999829999</v>
      </c>
      <c r="F37" s="129"/>
      <c r="G37" s="120">
        <v>18081.20799983</v>
      </c>
      <c r="H37" s="120">
        <v>2987.6930000000002</v>
      </c>
      <c r="I37" s="121">
        <v>3484.8226600985222</v>
      </c>
      <c r="J37" s="121">
        <v>2627.5430000000001</v>
      </c>
      <c r="K37" s="121">
        <v>3114.4482758620693</v>
      </c>
      <c r="L37" s="121">
        <v>3613.28125</v>
      </c>
      <c r="M37" s="121">
        <v>678.78100000000006</v>
      </c>
      <c r="N37" s="121">
        <v>581.15899999999999</v>
      </c>
      <c r="O37" s="121">
        <v>710.899</v>
      </c>
      <c r="P37" s="121">
        <v>812.33847117794494</v>
      </c>
      <c r="Q37" s="3">
        <v>0.20873916153144378</v>
      </c>
      <c r="R37" s="3">
        <v>0.19208316392548469</v>
      </c>
      <c r="S37" s="80">
        <v>0.16639248413358465</v>
      </c>
      <c r="T37" s="80">
        <v>0.18530820460866648</v>
      </c>
      <c r="U37" s="80">
        <v>0.16016736511697416</v>
      </c>
      <c r="V37" s="3">
        <v>0.85531999999999997</v>
      </c>
      <c r="W37" s="3">
        <v>0.85423000000000004</v>
      </c>
      <c r="X37" s="4">
        <v>0.18444133571009419</v>
      </c>
      <c r="Y37" s="4">
        <v>0.1956410118918919</v>
      </c>
      <c r="Z37" s="3">
        <v>0.17796908852415563</v>
      </c>
      <c r="AA37" s="4">
        <v>0.1947820782308646</v>
      </c>
      <c r="AB37" s="4">
        <v>0.18660094775185729</v>
      </c>
      <c r="AC37" s="4">
        <v>0.19674610162162162</v>
      </c>
      <c r="AD37" s="5">
        <v>0.37005225244964035</v>
      </c>
      <c r="AE37" s="5">
        <v>0.36117456236444923</v>
      </c>
      <c r="AF37" s="6">
        <v>5.1885590067067611</v>
      </c>
      <c r="AG37" s="6">
        <v>5.805589432955081</v>
      </c>
      <c r="AH37" s="6">
        <v>5.0040964842772757</v>
      </c>
      <c r="AI37" s="7">
        <v>0.3118265247209866</v>
      </c>
      <c r="AJ37" s="6">
        <v>26.637763873517375</v>
      </c>
      <c r="AK37" s="6">
        <v>31.112325542287049</v>
      </c>
      <c r="AL37" s="6">
        <v>25.434285320179097</v>
      </c>
      <c r="AM37" s="6">
        <v>1.6008994644332502</v>
      </c>
      <c r="AN37" s="6">
        <v>22.258219500070016</v>
      </c>
      <c r="AO37" s="6" t="s">
        <v>289</v>
      </c>
      <c r="AP37" s="6" t="s">
        <v>293</v>
      </c>
      <c r="AQ37" s="6"/>
      <c r="AR37" s="6" t="s">
        <v>356</v>
      </c>
      <c r="AS37" s="119" t="s">
        <v>392</v>
      </c>
    </row>
    <row r="38" spans="1:45" s="122" customFormat="1" ht="12.75" x14ac:dyDescent="0.2">
      <c r="A38" s="119" t="s">
        <v>23</v>
      </c>
      <c r="B38" s="119" t="s">
        <v>154</v>
      </c>
      <c r="C38" s="119">
        <v>173.07</v>
      </c>
      <c r="D38" s="129"/>
      <c r="E38" s="120">
        <v>20732.523281279999</v>
      </c>
      <c r="F38" s="129"/>
      <c r="G38" s="120">
        <v>21917.97528128</v>
      </c>
      <c r="H38" s="120">
        <v>2739.2260000000001</v>
      </c>
      <c r="I38" s="121">
        <v>2793.7368421052633</v>
      </c>
      <c r="J38" s="121">
        <v>2739.2260000000001</v>
      </c>
      <c r="K38" s="121">
        <v>2809.0453684210524</v>
      </c>
      <c r="L38" s="121">
        <v>2844.2877192982455</v>
      </c>
      <c r="M38" s="121">
        <v>1000.567</v>
      </c>
      <c r="N38" s="121">
        <v>890.81900000000007</v>
      </c>
      <c r="O38" s="121">
        <v>1058.4560000000001</v>
      </c>
      <c r="P38" s="121">
        <v>1271.1428571428571</v>
      </c>
      <c r="Q38" s="3">
        <v>0.42654102565330287</v>
      </c>
      <c r="R38" s="3">
        <v>0.19175956896581725</v>
      </c>
      <c r="S38" s="80">
        <v>1.9900089333725335E-2</v>
      </c>
      <c r="T38" s="80">
        <v>2.5488721420230398E-2</v>
      </c>
      <c r="U38" s="80">
        <v>1.2546024095368313E-2</v>
      </c>
      <c r="V38" s="3">
        <v>0.85481199749999992</v>
      </c>
      <c r="W38" s="3">
        <v>0.84517249999999999</v>
      </c>
      <c r="X38" s="4">
        <v>0.48842828871554489</v>
      </c>
      <c r="Y38" s="4">
        <v>0.45413689734549517</v>
      </c>
      <c r="Z38" s="3">
        <v>0.31274819967392253</v>
      </c>
      <c r="AA38" s="4">
        <v>0.35814647425632523</v>
      </c>
      <c r="AB38" s="4">
        <v>0.31712517356055525</v>
      </c>
      <c r="AC38" s="4">
        <v>0.37213394159053176</v>
      </c>
      <c r="AD38" s="5">
        <v>0.50450776863973978</v>
      </c>
      <c r="AE38" s="5">
        <v>0.37804656359005057</v>
      </c>
      <c r="AF38" s="6">
        <v>7.8453972295985377</v>
      </c>
      <c r="AG38" s="6">
        <v>7.80264196786539</v>
      </c>
      <c r="AH38" s="6">
        <v>7.7059627732343809</v>
      </c>
      <c r="AI38" s="7">
        <v>3.9423929702178198</v>
      </c>
      <c r="AJ38" s="6">
        <v>21.905554831690431</v>
      </c>
      <c r="AK38" s="6">
        <v>24.604297035963533</v>
      </c>
      <c r="AL38" s="6">
        <v>20.707497790441924</v>
      </c>
      <c r="AM38" s="6">
        <v>11.007767083018249</v>
      </c>
      <c r="AN38" s="6">
        <v>17.242731733980669</v>
      </c>
      <c r="AO38" s="6" t="s">
        <v>290</v>
      </c>
      <c r="AP38" s="6" t="s">
        <v>293</v>
      </c>
      <c r="AQ38" s="6"/>
      <c r="AR38" s="6" t="s">
        <v>346</v>
      </c>
      <c r="AS38" s="119" t="s">
        <v>393</v>
      </c>
    </row>
    <row r="39" spans="1:45" s="122" customFormat="1" ht="12.75" x14ac:dyDescent="0.2">
      <c r="A39" s="119" t="s">
        <v>121</v>
      </c>
      <c r="B39" s="119" t="s">
        <v>252</v>
      </c>
      <c r="C39" s="119">
        <v>12.78</v>
      </c>
      <c r="D39" s="129"/>
      <c r="E39" s="120">
        <v>2757.78742014</v>
      </c>
      <c r="F39" s="129"/>
      <c r="G39" s="120">
        <v>2305.0914201400001</v>
      </c>
      <c r="H39" s="120">
        <v>393.99299999999999</v>
      </c>
      <c r="I39" s="121">
        <v>469.56818181818181</v>
      </c>
      <c r="J39" s="121">
        <v>330.48200000000003</v>
      </c>
      <c r="K39" s="121">
        <v>415.81818181818181</v>
      </c>
      <c r="L39" s="121">
        <v>489.25</v>
      </c>
      <c r="M39" s="121">
        <v>106.011</v>
      </c>
      <c r="N39" s="121">
        <v>87.923000000000002</v>
      </c>
      <c r="O39" s="121">
        <v>111.029</v>
      </c>
      <c r="P39" s="121">
        <v>99.09999999999998</v>
      </c>
      <c r="Q39" s="3">
        <v>0.23562001711634606</v>
      </c>
      <c r="R39" s="3">
        <v>0.24711717728687035</v>
      </c>
      <c r="S39" s="80">
        <v>0.1918185902241456</v>
      </c>
      <c r="T39" s="80">
        <v>0.258217336551406</v>
      </c>
      <c r="U39" s="80">
        <v>0.17659597726278964</v>
      </c>
      <c r="V39" s="3">
        <v>0.75080000000000002</v>
      </c>
      <c r="W39" s="3">
        <v>0.76132</v>
      </c>
      <c r="X39" s="4">
        <v>0.1869927853082641</v>
      </c>
      <c r="Y39" s="4">
        <v>0.20088502810424119</v>
      </c>
      <c r="Z39" s="3">
        <v>0.21480330868822545</v>
      </c>
      <c r="AA39" s="4">
        <v>0.22576274139683461</v>
      </c>
      <c r="AB39" s="4">
        <v>0.21144578049846963</v>
      </c>
      <c r="AC39" s="4">
        <v>0.22693714869698517</v>
      </c>
      <c r="AD39" s="5">
        <v>0.46192048597509583</v>
      </c>
      <c r="AE39" s="5">
        <v>0.41758133162098021</v>
      </c>
      <c r="AF39" s="6">
        <v>4.908959996426117</v>
      </c>
      <c r="AG39" s="6">
        <v>5.5435080064582429</v>
      </c>
      <c r="AH39" s="6">
        <v>4.7114796528155338</v>
      </c>
      <c r="AI39" s="7">
        <v>0.25591680090495161</v>
      </c>
      <c r="AJ39" s="6">
        <v>21.74388903170426</v>
      </c>
      <c r="AK39" s="6">
        <v>26.217160699020734</v>
      </c>
      <c r="AL39" s="6">
        <v>20.761165282403699</v>
      </c>
      <c r="AM39" s="6">
        <v>1.133565261130107</v>
      </c>
      <c r="AN39" s="6">
        <v>23.260256509989915</v>
      </c>
      <c r="AO39" s="6" t="s">
        <v>291</v>
      </c>
      <c r="AP39" s="6" t="s">
        <v>294</v>
      </c>
      <c r="AQ39" s="6"/>
      <c r="AR39" s="6"/>
      <c r="AS39" s="119" t="s">
        <v>393</v>
      </c>
    </row>
    <row r="40" spans="1:45" s="122" customFormat="1" ht="12.75" x14ac:dyDescent="0.2">
      <c r="A40" s="119" t="s">
        <v>38</v>
      </c>
      <c r="B40" s="119" t="s">
        <v>169</v>
      </c>
      <c r="C40" s="119">
        <v>228.08</v>
      </c>
      <c r="D40" s="129"/>
      <c r="E40" s="120">
        <v>8223.3140092800004</v>
      </c>
      <c r="F40" s="129"/>
      <c r="G40" s="120">
        <v>8057.6980092800004</v>
      </c>
      <c r="H40" s="120">
        <v>906.29399999999998</v>
      </c>
      <c r="I40" s="121">
        <v>1079.6666666666667</v>
      </c>
      <c r="J40" s="121">
        <v>794.202</v>
      </c>
      <c r="K40" s="121">
        <v>949</v>
      </c>
      <c r="L40" s="121">
        <v>1124.5</v>
      </c>
      <c r="M40" s="121">
        <v>235.999</v>
      </c>
      <c r="N40" s="121">
        <v>212.55199999999999</v>
      </c>
      <c r="O40" s="121">
        <v>251.376</v>
      </c>
      <c r="P40" s="121">
        <v>292.375</v>
      </c>
      <c r="Q40" s="3">
        <v>0.21202237851973194</v>
      </c>
      <c r="R40" s="3">
        <v>0.1887880918401611</v>
      </c>
      <c r="S40" s="80">
        <v>0.19129848224380464</v>
      </c>
      <c r="T40" s="80">
        <v>0.19491011102968758</v>
      </c>
      <c r="U40" s="80">
        <v>0.18493150684931514</v>
      </c>
      <c r="V40" s="3">
        <v>0.63756000000000002</v>
      </c>
      <c r="W40" s="3">
        <v>0.6409999999999999</v>
      </c>
      <c r="X40" s="4">
        <v>0.24193888303477343</v>
      </c>
      <c r="Y40" s="4">
        <v>0.26070875944864386</v>
      </c>
      <c r="Z40" s="3">
        <v>0.23352797215914486</v>
      </c>
      <c r="AA40" s="4">
        <v>0.21858505711639392</v>
      </c>
      <c r="AB40" s="4">
        <v>0.22397471022128557</v>
      </c>
      <c r="AC40" s="4">
        <v>0.22354468652734549</v>
      </c>
      <c r="AD40" s="5">
        <v>0.42231606399930599</v>
      </c>
      <c r="AE40" s="5">
        <v>0.40988353936019856</v>
      </c>
      <c r="AF40" s="6">
        <v>7.4631349267798699</v>
      </c>
      <c r="AG40" s="6">
        <v>8.4907249834351948</v>
      </c>
      <c r="AH40" s="6">
        <v>7.1655829339973325</v>
      </c>
      <c r="AI40" s="7">
        <v>0.39013037841399656</v>
      </c>
      <c r="AJ40" s="6">
        <v>34.142932848359528</v>
      </c>
      <c r="AK40" s="6">
        <v>37.909302237946484</v>
      </c>
      <c r="AL40" s="6">
        <v>32.054364813188215</v>
      </c>
      <c r="AM40" s="6">
        <v>1.7847989407906175</v>
      </c>
      <c r="AN40" s="6">
        <v>27.559463050123988</v>
      </c>
      <c r="AO40" s="6" t="s">
        <v>290</v>
      </c>
      <c r="AP40" s="6" t="s">
        <v>293</v>
      </c>
      <c r="AQ40" s="6"/>
      <c r="AR40" s="6" t="s">
        <v>347</v>
      </c>
      <c r="AS40" s="119" t="s">
        <v>392</v>
      </c>
    </row>
    <row r="41" spans="1:45" s="122" customFormat="1" ht="12.75" x14ac:dyDescent="0.2">
      <c r="A41" s="119" t="s">
        <v>96</v>
      </c>
      <c r="B41" s="119" t="s">
        <v>227</v>
      </c>
      <c r="C41" s="119">
        <v>190.7</v>
      </c>
      <c r="D41" s="129"/>
      <c r="E41" s="120">
        <v>20472.078270399998</v>
      </c>
      <c r="F41" s="129"/>
      <c r="G41" s="120">
        <v>17558.678270399996</v>
      </c>
      <c r="H41" s="120">
        <v>2684.2</v>
      </c>
      <c r="I41" s="121">
        <v>2845.713709677419</v>
      </c>
      <c r="J41" s="121">
        <v>2565</v>
      </c>
      <c r="K41" s="121">
        <v>2726.212121212121</v>
      </c>
      <c r="L41" s="121">
        <v>2888.6969696969695</v>
      </c>
      <c r="M41" s="121">
        <v>1195.3810000000001</v>
      </c>
      <c r="N41" s="121">
        <v>1123.5720000000001</v>
      </c>
      <c r="O41" s="121">
        <v>1192.337</v>
      </c>
      <c r="P41" s="121">
        <v>1198.3296703296705</v>
      </c>
      <c r="Q41" s="3">
        <v>6.6761139977956185E-2</v>
      </c>
      <c r="R41" s="3">
        <v>6.3133713561470073E-2</v>
      </c>
      <c r="S41" s="80">
        <v>6.0172010162215628E-2</v>
      </c>
      <c r="T41" s="80">
        <v>6.285072951739612E-2</v>
      </c>
      <c r="U41" s="80">
        <v>5.9600955927304966E-2</v>
      </c>
      <c r="V41" s="3">
        <v>0.88380999999999998</v>
      </c>
      <c r="W41" s="3">
        <v>0.88544</v>
      </c>
      <c r="X41" s="4">
        <v>0.41133519702106375</v>
      </c>
      <c r="Y41" s="4">
        <v>0.40354483776894273</v>
      </c>
      <c r="Z41" s="3">
        <v>0.43527140585964114</v>
      </c>
      <c r="AA41" s="4">
        <v>0.42006368944805228</v>
      </c>
      <c r="AB41" s="4">
        <v>0.41213667537375653</v>
      </c>
      <c r="AC41" s="4">
        <v>0.41275945954451521</v>
      </c>
      <c r="AD41" s="5">
        <v>0.49840511942111121</v>
      </c>
      <c r="AE41" s="5">
        <v>0.48023569961026791</v>
      </c>
      <c r="AF41" s="6">
        <v>6.1702195167026801</v>
      </c>
      <c r="AG41" s="6">
        <v>6.4406867439915514</v>
      </c>
      <c r="AH41" s="6">
        <v>6.0784078269871067</v>
      </c>
      <c r="AI41" s="7">
        <v>1.0254301792591938</v>
      </c>
      <c r="AJ41" s="6">
        <v>14.688771421329262</v>
      </c>
      <c r="AK41" s="6">
        <v>15.627550589014318</v>
      </c>
      <c r="AL41" s="6">
        <v>14.726271406825417</v>
      </c>
      <c r="AM41" s="6">
        <v>2.4411302500498677</v>
      </c>
      <c r="AN41" s="6">
        <v>14.652627490705004</v>
      </c>
      <c r="AO41" s="6" t="s">
        <v>291</v>
      </c>
      <c r="AP41" s="6" t="s">
        <v>294</v>
      </c>
      <c r="AQ41" s="6"/>
      <c r="AR41" s="6"/>
      <c r="AS41" s="119" t="s">
        <v>393</v>
      </c>
    </row>
    <row r="42" spans="1:45" s="122" customFormat="1" ht="12.75" x14ac:dyDescent="0.2">
      <c r="A42" s="119" t="s">
        <v>103</v>
      </c>
      <c r="B42" s="119" t="s">
        <v>234</v>
      </c>
      <c r="C42" s="119">
        <v>46.36</v>
      </c>
      <c r="D42" s="125">
        <v>304.3</v>
      </c>
      <c r="E42" s="124">
        <v>14107.348</v>
      </c>
      <c r="F42" s="125">
        <v>1315</v>
      </c>
      <c r="G42" s="124">
        <v>12792.348</v>
      </c>
      <c r="H42" s="120">
        <v>1852.5319999999999</v>
      </c>
      <c r="I42" s="121">
        <v>2129.7219251336901</v>
      </c>
      <c r="J42" s="121">
        <v>1698.683</v>
      </c>
      <c r="K42" s="121">
        <v>1922.3023939393941</v>
      </c>
      <c r="L42" s="121">
        <v>2204.4721863667096</v>
      </c>
      <c r="M42" s="121">
        <v>558.101</v>
      </c>
      <c r="N42" s="121">
        <v>471.41599999999994</v>
      </c>
      <c r="O42" s="121">
        <v>580.17899999999997</v>
      </c>
      <c r="P42" s="121">
        <v>636.5</v>
      </c>
      <c r="Q42" s="3">
        <v>0.18109243797966657</v>
      </c>
      <c r="R42" s="3">
        <v>0.18501905912711181</v>
      </c>
      <c r="S42" s="80">
        <v>0.14962760434566857</v>
      </c>
      <c r="T42" s="80">
        <v>0.13164280441930254</v>
      </c>
      <c r="U42" s="80">
        <v>0.14678741144834251</v>
      </c>
      <c r="V42" s="3">
        <v>0.84129750000000003</v>
      </c>
      <c r="W42" s="3">
        <v>0.8432075</v>
      </c>
      <c r="X42" s="4">
        <v>0.29135374422139843</v>
      </c>
      <c r="Y42" s="4">
        <v>0.29054483152977939</v>
      </c>
      <c r="Z42" s="3">
        <v>0.25685548211852749</v>
      </c>
      <c r="AA42" s="4">
        <v>0.26205346031969223</v>
      </c>
      <c r="AB42" s="4">
        <v>0.24523508969570718</v>
      </c>
      <c r="AC42" s="4">
        <v>0.26318272627255018</v>
      </c>
      <c r="AD42" s="5">
        <v>0.4418745412456393</v>
      </c>
      <c r="AE42" s="5">
        <v>0.41168106466536081</v>
      </c>
      <c r="AF42" s="6">
        <v>6.0065813517870321</v>
      </c>
      <c r="AG42" s="6">
        <v>6.6547011751800973</v>
      </c>
      <c r="AH42" s="6">
        <v>5.8029074166200516</v>
      </c>
      <c r="AI42" s="7">
        <v>0.40143537538104757</v>
      </c>
      <c r="AJ42" s="6">
        <v>22.921206018265512</v>
      </c>
      <c r="AK42" s="6">
        <v>27.136007263223991</v>
      </c>
      <c r="AL42" s="6">
        <v>22.048967646191951</v>
      </c>
      <c r="AM42" s="6">
        <v>1.5318835129721862</v>
      </c>
      <c r="AN42" s="6">
        <v>20.097954438334643</v>
      </c>
      <c r="AO42" s="6" t="s">
        <v>291</v>
      </c>
      <c r="AP42" s="6" t="s">
        <v>294</v>
      </c>
      <c r="AQ42" s="6"/>
      <c r="AR42" s="6" t="s">
        <v>334</v>
      </c>
      <c r="AS42" s="119" t="s">
        <v>393</v>
      </c>
    </row>
    <row r="43" spans="1:45" s="122" customFormat="1" ht="12.75" x14ac:dyDescent="0.2">
      <c r="A43" s="119" t="s">
        <v>45</v>
      </c>
      <c r="B43" s="119" t="s">
        <v>176</v>
      </c>
      <c r="C43" s="119">
        <v>41.61</v>
      </c>
      <c r="D43" s="125"/>
      <c r="E43" s="120">
        <v>3408.9608744099996</v>
      </c>
      <c r="F43" s="125"/>
      <c r="G43" s="120">
        <v>3151.6388744099995</v>
      </c>
      <c r="H43" s="120">
        <v>524.34199999999998</v>
      </c>
      <c r="I43" s="121">
        <v>588.6</v>
      </c>
      <c r="J43" s="121">
        <v>504.12</v>
      </c>
      <c r="K43" s="121">
        <v>541.23299999999995</v>
      </c>
      <c r="L43" s="121">
        <v>608.375</v>
      </c>
      <c r="M43" s="121">
        <v>130.56900000000002</v>
      </c>
      <c r="N43" s="121">
        <v>103.17099999999999</v>
      </c>
      <c r="O43" s="121">
        <v>141.23099999999999</v>
      </c>
      <c r="P43" s="121">
        <v>119.66666666666664</v>
      </c>
      <c r="Q43" s="3">
        <v>0.17021169142712833</v>
      </c>
      <c r="R43" s="3">
        <v>0.17105189691638023</v>
      </c>
      <c r="S43" s="80">
        <v>0.12254978620823831</v>
      </c>
      <c r="T43" s="80">
        <v>7.3619376338966758E-2</v>
      </c>
      <c r="U43" s="80">
        <v>0.12405378090397301</v>
      </c>
      <c r="V43" s="3">
        <v>0.77549999999999997</v>
      </c>
      <c r="W43" s="3">
        <v>0.78122500000000006</v>
      </c>
      <c r="X43" s="4">
        <v>0.15620629192972343</v>
      </c>
      <c r="Y43" s="4">
        <v>0.19054859256215329</v>
      </c>
      <c r="Z43" s="3">
        <v>0.1961906541913484</v>
      </c>
      <c r="AA43" s="4">
        <v>0.22182976554536191</v>
      </c>
      <c r="AB43" s="4">
        <v>0.19062215349027128</v>
      </c>
      <c r="AC43" s="4">
        <v>0.23214464762687487</v>
      </c>
      <c r="AD43" s="5">
        <v>0.36724255110772863</v>
      </c>
      <c r="AE43" s="5">
        <v>0.34437955175360024</v>
      </c>
      <c r="AF43" s="6">
        <v>5.3544663173802229</v>
      </c>
      <c r="AG43" s="6">
        <v>5.82307227092583</v>
      </c>
      <c r="AH43" s="6">
        <v>5.1804214085227027</v>
      </c>
      <c r="AI43" s="7">
        <v>0.4369217183522327</v>
      </c>
      <c r="AJ43" s="6">
        <v>24.137726982744748</v>
      </c>
      <c r="AK43" s="6">
        <v>30.547720526213759</v>
      </c>
      <c r="AL43" s="6">
        <v>22.315489335981475</v>
      </c>
      <c r="AM43" s="6">
        <v>1.9696262008755843</v>
      </c>
      <c r="AN43" s="6">
        <v>26.336815106490253</v>
      </c>
      <c r="AO43" s="6" t="s">
        <v>290</v>
      </c>
      <c r="AP43" s="6" t="s">
        <v>293</v>
      </c>
      <c r="AQ43" s="6"/>
      <c r="AR43" s="6"/>
      <c r="AS43" s="119" t="s">
        <v>393</v>
      </c>
    </row>
    <row r="44" spans="1:45" s="122" customFormat="1" ht="12.75" x14ac:dyDescent="0.2">
      <c r="A44" s="119" t="s">
        <v>41</v>
      </c>
      <c r="B44" s="119" t="s">
        <v>172</v>
      </c>
      <c r="C44" s="119">
        <v>19.71</v>
      </c>
      <c r="D44" s="125"/>
      <c r="E44" s="120">
        <v>3144.29617044</v>
      </c>
      <c r="F44" s="125"/>
      <c r="G44" s="120">
        <v>3182.1641704399999</v>
      </c>
      <c r="H44" s="120">
        <v>732.18899999999996</v>
      </c>
      <c r="I44" s="121">
        <v>806.58095238095234</v>
      </c>
      <c r="J44" s="121">
        <v>666.77599999999995</v>
      </c>
      <c r="K44" s="121">
        <v>748.2</v>
      </c>
      <c r="L44" s="121">
        <v>828.1875</v>
      </c>
      <c r="M44" s="121">
        <v>96.588999999999999</v>
      </c>
      <c r="N44" s="121">
        <v>63.753</v>
      </c>
      <c r="O44" s="121">
        <v>99.775000000000006</v>
      </c>
      <c r="P44" s="121">
        <v>179.31428571428575</v>
      </c>
      <c r="Q44" s="3">
        <v>0.12718631736439101</v>
      </c>
      <c r="R44" s="3">
        <v>0.13829337379553949</v>
      </c>
      <c r="S44" s="80">
        <v>0.10160211691373733</v>
      </c>
      <c r="T44" s="80">
        <v>0.12211597298043131</v>
      </c>
      <c r="U44" s="80">
        <v>0.10690657578187635</v>
      </c>
      <c r="V44" s="3">
        <v>0.74797000000000002</v>
      </c>
      <c r="W44" s="3">
        <v>0.75114999999999998</v>
      </c>
      <c r="X44" s="4">
        <v>0.1813525795241914</v>
      </c>
      <c r="Y44" s="4">
        <v>0.19643860840691271</v>
      </c>
      <c r="Z44" s="3">
        <v>0.10491416833631755</v>
      </c>
      <c r="AA44" s="4">
        <v>0.11975115419584136</v>
      </c>
      <c r="AB44" s="4">
        <v>8.5208500400962298E-2</v>
      </c>
      <c r="AC44" s="4">
        <v>0.12047392649611351</v>
      </c>
      <c r="AD44" s="5">
        <v>0.24320754213185702</v>
      </c>
      <c r="AE44" s="5">
        <v>0.2213532711095787</v>
      </c>
      <c r="AF44" s="6">
        <v>3.9452508282603818</v>
      </c>
      <c r="AG44" s="6">
        <v>4.2530929837476608</v>
      </c>
      <c r="AH44" s="6">
        <v>3.8423233512217942</v>
      </c>
      <c r="AI44" s="7">
        <v>0.38830399878478872</v>
      </c>
      <c r="AJ44" s="6">
        <v>32.945409626769091</v>
      </c>
      <c r="AK44" s="6">
        <v>49.913951820933917</v>
      </c>
      <c r="AL44" s="6">
        <v>31.893401858581807</v>
      </c>
      <c r="AM44" s="6">
        <v>3.2425908659699041</v>
      </c>
      <c r="AN44" s="6">
        <v>17.746294768228168</v>
      </c>
      <c r="AO44" s="6" t="s">
        <v>290</v>
      </c>
      <c r="AP44" s="6" t="s">
        <v>293</v>
      </c>
      <c r="AQ44" s="6"/>
      <c r="AR44" s="6" t="s">
        <v>354</v>
      </c>
      <c r="AS44" s="119" t="s">
        <v>393</v>
      </c>
    </row>
    <row r="45" spans="1:45" s="122" customFormat="1" ht="12.75" x14ac:dyDescent="0.2">
      <c r="A45" s="119" t="s">
        <v>32</v>
      </c>
      <c r="B45" s="119" t="s">
        <v>163</v>
      </c>
      <c r="C45" s="119">
        <v>27.38</v>
      </c>
      <c r="D45" s="125"/>
      <c r="E45" s="120">
        <v>8778.3949193799999</v>
      </c>
      <c r="F45" s="125"/>
      <c r="G45" s="120">
        <v>7911.5329193799998</v>
      </c>
      <c r="H45" s="120">
        <v>1153.9880000000001</v>
      </c>
      <c r="I45" s="121">
        <v>1413.3809523809523</v>
      </c>
      <c r="J45" s="121">
        <v>937.46400000000006</v>
      </c>
      <c r="K45" s="121">
        <v>1217.5</v>
      </c>
      <c r="L45" s="121">
        <v>1481.5454545454545</v>
      </c>
      <c r="M45" s="121">
        <v>228.05100000000002</v>
      </c>
      <c r="N45" s="121">
        <v>179.053</v>
      </c>
      <c r="O45" s="121">
        <v>237.959</v>
      </c>
      <c r="P45" s="121">
        <v>225.85833333333329</v>
      </c>
      <c r="Q45" s="3">
        <v>0.32236467115281542</v>
      </c>
      <c r="R45" s="3">
        <v>0.32807468598878164</v>
      </c>
      <c r="S45" s="80">
        <v>0.22477959249225488</v>
      </c>
      <c r="T45" s="80">
        <v>0.29871653738170201</v>
      </c>
      <c r="U45" s="80">
        <v>0.21687511666977777</v>
      </c>
      <c r="V45" s="3">
        <v>0.75956000000000001</v>
      </c>
      <c r="W45" s="3">
        <v>0.75497000000000003</v>
      </c>
      <c r="X45" s="4">
        <v>0.13397207392197125</v>
      </c>
      <c r="Y45" s="4">
        <v>0.14548689942934281</v>
      </c>
      <c r="Z45" s="3">
        <v>0.15214282990810996</v>
      </c>
      <c r="AA45" s="4">
        <v>0.16135140325460734</v>
      </c>
      <c r="AB45" s="4">
        <v>0.14706611909650924</v>
      </c>
      <c r="AC45" s="4">
        <v>0.16061538933546052</v>
      </c>
      <c r="AD45" s="5">
        <v>0.4802175158968916</v>
      </c>
      <c r="AE45" s="5">
        <v>0.38613099574686222</v>
      </c>
      <c r="AF45" s="6">
        <v>5.5975941277915169</v>
      </c>
      <c r="AG45" s="6">
        <v>6.4981789892238195</v>
      </c>
      <c r="AH45" s="6">
        <v>5.3400541273350921</v>
      </c>
      <c r="AI45" s="7">
        <v>0.24902590425260204</v>
      </c>
      <c r="AJ45" s="6">
        <v>34.691945746258511</v>
      </c>
      <c r="AK45" s="6">
        <v>44.185425094134139</v>
      </c>
      <c r="AL45" s="6">
        <v>33.247462459415274</v>
      </c>
      <c r="AM45" s="6">
        <v>1.5433761295502781</v>
      </c>
      <c r="AN45" s="6">
        <v>35.028740372859097</v>
      </c>
      <c r="AO45" s="6" t="s">
        <v>289</v>
      </c>
      <c r="AP45" s="6" t="s">
        <v>293</v>
      </c>
      <c r="AQ45" s="6"/>
      <c r="AR45" s="6" t="s">
        <v>362</v>
      </c>
      <c r="AS45" s="119" t="s">
        <v>392</v>
      </c>
    </row>
    <row r="46" spans="1:45" s="122" customFormat="1" ht="12.75" x14ac:dyDescent="0.2">
      <c r="A46" s="119" t="s">
        <v>97</v>
      </c>
      <c r="B46" s="119" t="s">
        <v>228</v>
      </c>
      <c r="C46" s="119">
        <v>64.010000000000005</v>
      </c>
      <c r="D46" s="125">
        <v>288.43799999999999</v>
      </c>
      <c r="E46" s="124">
        <v>18462.916380000002</v>
      </c>
      <c r="F46" s="125">
        <v>539.86800000000221</v>
      </c>
      <c r="G46" s="124">
        <v>17923.04838</v>
      </c>
      <c r="H46" s="120">
        <v>2537.9270000000001</v>
      </c>
      <c r="I46" s="121">
        <v>2921.7857142857142</v>
      </c>
      <c r="J46" s="121">
        <v>2537.9270000000001</v>
      </c>
      <c r="K46" s="121">
        <v>2686.4098711180122</v>
      </c>
      <c r="L46" s="121">
        <v>3096.2491530208918</v>
      </c>
      <c r="M46" s="121">
        <v>840.49</v>
      </c>
      <c r="N46" s="121">
        <v>828.42366666666669</v>
      </c>
      <c r="O46" s="121">
        <v>851.58400000000006</v>
      </c>
      <c r="P46" s="121">
        <v>714.75</v>
      </c>
      <c r="Q46" s="3">
        <v>0.19219749175110246</v>
      </c>
      <c r="R46" s="3">
        <v>0.18108158167102276</v>
      </c>
      <c r="S46" s="80">
        <v>0.15124891861969014</v>
      </c>
      <c r="T46" s="80">
        <v>5.8505572113781046E-2</v>
      </c>
      <c r="U46" s="80">
        <v>0.15256022035547212</v>
      </c>
      <c r="V46" s="3">
        <v>0.88052083333333331</v>
      </c>
      <c r="W46" s="3">
        <v>0.88044166666666668</v>
      </c>
      <c r="X46" s="4">
        <v>0.21091494864266358</v>
      </c>
      <c r="Y46" s="4">
        <v>0.22528774834526161</v>
      </c>
      <c r="Z46" s="3">
        <v>0.29558493999236385</v>
      </c>
      <c r="AA46" s="4">
        <v>0.28766312186774234</v>
      </c>
      <c r="AB46" s="4">
        <v>0.30837575292332398</v>
      </c>
      <c r="AC46" s="4">
        <v>0.27503729768295365</v>
      </c>
      <c r="AD46" s="5">
        <v>0.47666652166338663</v>
      </c>
      <c r="AE46" s="5">
        <v>0.43891204048743249</v>
      </c>
      <c r="AF46" s="6">
        <v>6.1342788734873492</v>
      </c>
      <c r="AG46" s="6">
        <v>6.6717475142915941</v>
      </c>
      <c r="AH46" s="6">
        <v>5.788632469229154</v>
      </c>
      <c r="AI46" s="7">
        <v>0.40557505663308363</v>
      </c>
      <c r="AJ46" s="6">
        <v>21.324523052029175</v>
      </c>
      <c r="AK46" s="6">
        <v>21.635123549906631</v>
      </c>
      <c r="AL46" s="6">
        <v>21.046718092401921</v>
      </c>
      <c r="AM46" s="6">
        <v>1.4098959018443566</v>
      </c>
      <c r="AN46" s="6">
        <v>25.075968352570829</v>
      </c>
      <c r="AO46" s="6" t="s">
        <v>291</v>
      </c>
      <c r="AP46" s="6" t="s">
        <v>294</v>
      </c>
      <c r="AQ46" s="6"/>
      <c r="AR46" s="6"/>
      <c r="AS46" s="119" t="s">
        <v>393</v>
      </c>
    </row>
    <row r="47" spans="1:45" s="122" customFormat="1" ht="12.75" x14ac:dyDescent="0.2">
      <c r="A47" s="119" t="s">
        <v>40</v>
      </c>
      <c r="B47" s="119" t="s">
        <v>171</v>
      </c>
      <c r="C47" s="119">
        <v>20.83</v>
      </c>
      <c r="D47" s="125"/>
      <c r="E47" s="120">
        <v>6096.1172568199991</v>
      </c>
      <c r="F47" s="125"/>
      <c r="G47" s="120">
        <v>6934.8242568199994</v>
      </c>
      <c r="H47" s="120">
        <v>640.37599999999998</v>
      </c>
      <c r="I47" s="121">
        <v>911.45555555555563</v>
      </c>
      <c r="J47" s="121">
        <v>451.803</v>
      </c>
      <c r="K47" s="121">
        <v>730.16666666666663</v>
      </c>
      <c r="L47" s="121">
        <v>949.18181818181813</v>
      </c>
      <c r="M47" s="121">
        <v>210.898</v>
      </c>
      <c r="N47" s="121">
        <v>157.47</v>
      </c>
      <c r="O47" s="121">
        <v>220.29300000000001</v>
      </c>
      <c r="P47" s="121">
        <v>314.95396825396824</v>
      </c>
      <c r="Q47" s="3">
        <v>0.77081534689367004</v>
      </c>
      <c r="R47" s="3">
        <v>0.50905016295242012</v>
      </c>
      <c r="S47" s="80">
        <v>0.42331310910395725</v>
      </c>
      <c r="T47" s="80">
        <v>0.61611734908060956</v>
      </c>
      <c r="U47" s="80">
        <v>0.29995227324604179</v>
      </c>
      <c r="V47" s="3">
        <v>0.78025999999999995</v>
      </c>
      <c r="W47" s="3">
        <v>0.78585000000000005</v>
      </c>
      <c r="X47" s="4">
        <v>0.28692079433919199</v>
      </c>
      <c r="Y47" s="4">
        <v>0.3073699837180347</v>
      </c>
      <c r="Z47" s="3">
        <v>0.12824965332866939</v>
      </c>
      <c r="AA47" s="4">
        <v>0.23138593946191072</v>
      </c>
      <c r="AB47" s="4">
        <v>0.21566309061858024</v>
      </c>
      <c r="AC47" s="4">
        <v>0.23208725217891008</v>
      </c>
      <c r="AD47" s="5">
        <v>0.63729981628108945</v>
      </c>
      <c r="AE47" s="5">
        <v>0.65469904856586791</v>
      </c>
      <c r="AF47" s="6">
        <v>7.6085160867696349</v>
      </c>
      <c r="AG47" s="6">
        <v>9.4975908561789542</v>
      </c>
      <c r="AH47" s="6">
        <v>7.3061073484359733</v>
      </c>
      <c r="AI47" s="7">
        <v>0.1797373131882182</v>
      </c>
      <c r="AJ47" s="6">
        <v>32.882361410824188</v>
      </c>
      <c r="AK47" s="6">
        <v>44.039018586524413</v>
      </c>
      <c r="AL47" s="6">
        <v>31.480002799998182</v>
      </c>
      <c r="AM47" s="6">
        <v>0.77678580473039249</v>
      </c>
      <c r="AN47" s="6">
        <v>22.018532724845656</v>
      </c>
      <c r="AO47" s="6" t="s">
        <v>290</v>
      </c>
      <c r="AP47" s="6" t="s">
        <v>293</v>
      </c>
      <c r="AQ47" s="6"/>
      <c r="AR47" s="6"/>
      <c r="AS47" s="119" t="s">
        <v>392</v>
      </c>
    </row>
    <row r="48" spans="1:45" s="122" customFormat="1" ht="12.75" x14ac:dyDescent="0.2">
      <c r="A48" s="119" t="s">
        <v>119</v>
      </c>
      <c r="B48" s="119" t="s">
        <v>250</v>
      </c>
      <c r="C48" s="119">
        <v>13.74</v>
      </c>
      <c r="D48" s="125">
        <v>167.71017897480453</v>
      </c>
      <c r="E48" s="124">
        <v>2304.3378591138144</v>
      </c>
      <c r="F48" s="125">
        <v>742.6880000000001</v>
      </c>
      <c r="G48" s="124">
        <v>1561.6498591138143</v>
      </c>
      <c r="H48" s="120">
        <v>372.10399999999998</v>
      </c>
      <c r="I48" s="121">
        <v>306.32657342657342</v>
      </c>
      <c r="J48" s="121">
        <v>389.05599999999998</v>
      </c>
      <c r="K48" s="121">
        <v>337.3028511705686</v>
      </c>
      <c r="L48" s="121">
        <v>320.35443481639129</v>
      </c>
      <c r="M48" s="121">
        <v>-85.316000000000003</v>
      </c>
      <c r="N48" s="121">
        <v>-65.575333333333333</v>
      </c>
      <c r="O48" s="121">
        <v>-96.305999999999997</v>
      </c>
      <c r="P48" s="121">
        <v>-181.23095238095235</v>
      </c>
      <c r="Q48" s="3">
        <v>-0.19437469184639899</v>
      </c>
      <c r="R48" s="3">
        <v>0.14341200800164683</v>
      </c>
      <c r="S48" s="80">
        <v>-0.17677161915331885</v>
      </c>
      <c r="T48" s="80">
        <v>-0.13302236395128564</v>
      </c>
      <c r="U48" s="80">
        <v>-5.0246881386741604E-2</v>
      </c>
      <c r="V48" s="3">
        <v>0.61602666666666661</v>
      </c>
      <c r="W48" s="3">
        <v>0.6198866666666667</v>
      </c>
      <c r="X48" s="4">
        <v>-0.53775313798027413</v>
      </c>
      <c r="Y48" s="4">
        <v>-0.5263628292310405</v>
      </c>
      <c r="Z48" s="3">
        <v>-0.23073925569195708</v>
      </c>
      <c r="AA48" s="4">
        <v>-0.27851321890116815</v>
      </c>
      <c r="AB48" s="4">
        <v>-0.19441084801317896</v>
      </c>
      <c r="AC48" s="4">
        <v>-0.3006232770125285</v>
      </c>
      <c r="AD48" s="5">
        <v>-8.732724769031025E-2</v>
      </c>
      <c r="AE48" s="5">
        <v>-0.455284838054487</v>
      </c>
      <c r="AF48" s="6">
        <v>5.0979901666550722</v>
      </c>
      <c r="AG48" s="6">
        <v>4.6298151755738148</v>
      </c>
      <c r="AH48" s="6">
        <v>4.8747564865423572</v>
      </c>
      <c r="AI48" s="7">
        <v>-0.28839415462011725</v>
      </c>
      <c r="AJ48" s="6">
        <v>-18.304302347904429</v>
      </c>
      <c r="AK48" s="6">
        <v>-23.814592770357976</v>
      </c>
      <c r="AL48" s="6">
        <v>-16.215499128961998</v>
      </c>
      <c r="AM48" s="6">
        <v>1.035477438945027</v>
      </c>
      <c r="AN48" s="6">
        <v>-8.6169047759081696</v>
      </c>
      <c r="AO48" s="6" t="s">
        <v>291</v>
      </c>
      <c r="AP48" s="6" t="s">
        <v>294</v>
      </c>
      <c r="AQ48" s="6"/>
      <c r="AR48" s="6" t="s">
        <v>119</v>
      </c>
      <c r="AS48" s="119" t="s">
        <v>393</v>
      </c>
    </row>
    <row r="49" spans="1:45" s="122" customFormat="1" ht="12.75" x14ac:dyDescent="0.2">
      <c r="A49" s="119" t="s">
        <v>118</v>
      </c>
      <c r="B49" s="119" t="s">
        <v>249</v>
      </c>
      <c r="C49" s="119">
        <v>138.55000000000001</v>
      </c>
      <c r="D49" s="125"/>
      <c r="E49" s="120">
        <v>4968.1685734000002</v>
      </c>
      <c r="F49" s="125"/>
      <c r="G49" s="120">
        <v>4359.2195734000006</v>
      </c>
      <c r="H49" s="120">
        <v>653.03399999999999</v>
      </c>
      <c r="I49" s="121">
        <v>705.35526315789468</v>
      </c>
      <c r="J49" s="121">
        <v>607.57100000000003</v>
      </c>
      <c r="K49" s="121">
        <v>667.09090909090912</v>
      </c>
      <c r="L49" s="121">
        <v>717.47619047619048</v>
      </c>
      <c r="M49" s="121">
        <v>287.32299999999998</v>
      </c>
      <c r="N49" s="121">
        <v>277.36900000000003</v>
      </c>
      <c r="O49" s="121">
        <v>288.39499999999998</v>
      </c>
      <c r="P49" s="121">
        <v>322.99416666666667</v>
      </c>
      <c r="Q49" s="3">
        <v>0.1040833966997472</v>
      </c>
      <c r="R49" s="3">
        <v>0.10133063496078916</v>
      </c>
      <c r="S49" s="80">
        <v>8.0120274224457999E-2</v>
      </c>
      <c r="T49" s="80">
        <v>9.7963709740769511E-2</v>
      </c>
      <c r="U49" s="80">
        <v>7.5529857623070962E-2</v>
      </c>
      <c r="V49" s="3">
        <v>0.84236999999999995</v>
      </c>
      <c r="W49" s="3">
        <v>0.84076000000000006</v>
      </c>
      <c r="X49" s="4">
        <v>0.44651185609157812</v>
      </c>
      <c r="Y49" s="4">
        <v>0.43764518484104331</v>
      </c>
      <c r="Z49" s="3">
        <v>0.41553732271214061</v>
      </c>
      <c r="AA49" s="4">
        <v>0.40734508552987481</v>
      </c>
      <c r="AB49" s="4">
        <v>0.41578890705914423</v>
      </c>
      <c r="AC49" s="4">
        <v>0.40195758943386206</v>
      </c>
      <c r="AD49" s="5">
        <v>0.51686795767292981</v>
      </c>
      <c r="AE49" s="5">
        <v>0.48746535975433281</v>
      </c>
      <c r="AF49" s="6">
        <v>6.1801758646893141</v>
      </c>
      <c r="AG49" s="6">
        <v>6.5346709331425465</v>
      </c>
      <c r="AH49" s="6">
        <v>6.0757689680361064</v>
      </c>
      <c r="AI49" s="7">
        <v>0.77136229556272728</v>
      </c>
      <c r="AJ49" s="6">
        <v>15.171843442397584</v>
      </c>
      <c r="AK49" s="6">
        <v>15.716318598689833</v>
      </c>
      <c r="AL49" s="6">
        <v>15.115447817749963</v>
      </c>
      <c r="AM49" s="6">
        <v>1.8936334890583955</v>
      </c>
      <c r="AN49" s="6">
        <v>13.496279571818894</v>
      </c>
      <c r="AO49" s="6" t="s">
        <v>291</v>
      </c>
      <c r="AP49" s="6" t="s">
        <v>294</v>
      </c>
      <c r="AQ49" s="6"/>
      <c r="AR49" s="6" t="s">
        <v>335</v>
      </c>
      <c r="AS49" s="119" t="s">
        <v>392</v>
      </c>
    </row>
    <row r="50" spans="1:45" s="122" customFormat="1" ht="12.75" x14ac:dyDescent="0.2">
      <c r="A50" s="119" t="s">
        <v>109</v>
      </c>
      <c r="B50" s="119" t="s">
        <v>240</v>
      </c>
      <c r="C50" s="119">
        <v>122.54</v>
      </c>
      <c r="D50" s="125"/>
      <c r="E50" s="120">
        <v>5403.3231194800001</v>
      </c>
      <c r="F50" s="125"/>
      <c r="G50" s="120">
        <v>4369.3291194800004</v>
      </c>
      <c r="H50" s="120">
        <v>1095.835</v>
      </c>
      <c r="I50" s="121">
        <v>1227.3636363636363</v>
      </c>
      <c r="J50" s="121">
        <v>995.61900000000003</v>
      </c>
      <c r="K50" s="121">
        <v>1132.2049999999999</v>
      </c>
      <c r="L50" s="121">
        <v>1265.2727272727273</v>
      </c>
      <c r="M50" s="121">
        <v>243.93200000000002</v>
      </c>
      <c r="N50" s="121">
        <v>219.05199999999999</v>
      </c>
      <c r="O50" s="121">
        <v>259.59100000000001</v>
      </c>
      <c r="P50" s="121">
        <v>240.14285714285714</v>
      </c>
      <c r="Q50" s="3">
        <v>0.18394362091581717</v>
      </c>
      <c r="R50" s="3">
        <v>0.22023829408162141</v>
      </c>
      <c r="S50" s="80">
        <v>0.12002594949388934</v>
      </c>
      <c r="T50" s="80">
        <v>0.13718701631849117</v>
      </c>
      <c r="U50" s="80">
        <v>0.11752971173305826</v>
      </c>
      <c r="V50" s="3">
        <v>0.81307680000000004</v>
      </c>
      <c r="W50" s="3">
        <v>0.806315</v>
      </c>
      <c r="X50" s="4">
        <v>0.19809663444340911</v>
      </c>
      <c r="Y50" s="4">
        <v>0.19199418019830436</v>
      </c>
      <c r="Z50" s="3">
        <v>0.1911236636902453</v>
      </c>
      <c r="AA50" s="4">
        <v>0.19874468557884603</v>
      </c>
      <c r="AB50" s="4">
        <v>0.19347379670642684</v>
      </c>
      <c r="AC50" s="4">
        <v>0.20516604397183505</v>
      </c>
      <c r="AD50" s="5">
        <v>0.41136195777186668</v>
      </c>
      <c r="AE50" s="5">
        <v>0.3187706350727354</v>
      </c>
      <c r="AF50" s="6">
        <v>3.5599303988060149</v>
      </c>
      <c r="AG50" s="6">
        <v>3.8591325064630526</v>
      </c>
      <c r="AH50" s="6">
        <v>3.4532706074349768</v>
      </c>
      <c r="AI50" s="7">
        <v>0.29659672877549326</v>
      </c>
      <c r="AJ50" s="6">
        <v>17.912078445960351</v>
      </c>
      <c r="AK50" s="6">
        <v>19.946538353815534</v>
      </c>
      <c r="AL50" s="6">
        <v>16.831589382836849</v>
      </c>
      <c r="AM50" s="6">
        <v>1.4923504893308321</v>
      </c>
      <c r="AN50" s="6">
        <v>18.194707814610354</v>
      </c>
      <c r="AO50" s="6" t="s">
        <v>291</v>
      </c>
      <c r="AP50" s="6" t="s">
        <v>294</v>
      </c>
      <c r="AQ50" s="6"/>
      <c r="AR50" s="6" t="s">
        <v>339</v>
      </c>
      <c r="AS50" s="119" t="s">
        <v>393</v>
      </c>
    </row>
    <row r="51" spans="1:45" s="122" customFormat="1" ht="12.75" x14ac:dyDescent="0.2">
      <c r="A51" s="119" t="s">
        <v>42</v>
      </c>
      <c r="B51" s="119" t="s">
        <v>173</v>
      </c>
      <c r="C51" s="119">
        <v>69.5</v>
      </c>
      <c r="D51" s="125"/>
      <c r="E51" s="120">
        <v>4345.8353474999994</v>
      </c>
      <c r="F51" s="125"/>
      <c r="G51" s="120">
        <v>4316.1853474999998</v>
      </c>
      <c r="H51" s="120">
        <v>769.63199999999995</v>
      </c>
      <c r="I51" s="121">
        <v>851.79761904761915</v>
      </c>
      <c r="J51" s="121">
        <v>696.46400000000006</v>
      </c>
      <c r="K51" s="121">
        <v>791.53333333333342</v>
      </c>
      <c r="L51" s="121">
        <v>873.21428571428578</v>
      </c>
      <c r="M51" s="121">
        <v>190.941</v>
      </c>
      <c r="N51" s="121">
        <v>166.45400000000001</v>
      </c>
      <c r="O51" s="121">
        <v>204.976</v>
      </c>
      <c r="P51" s="121">
        <v>215.00714285714281</v>
      </c>
      <c r="Q51" s="3">
        <v>0.15245599099536644</v>
      </c>
      <c r="R51" s="3">
        <v>0.13928918771288606</v>
      </c>
      <c r="S51" s="80">
        <v>0.10675961894466335</v>
      </c>
      <c r="T51" s="80">
        <v>0.13650286781992094</v>
      </c>
      <c r="U51" s="80">
        <v>0.1031933197771655</v>
      </c>
      <c r="V51" s="3">
        <v>0.58013999999999999</v>
      </c>
      <c r="W51" s="3">
        <v>0.60006000000000004</v>
      </c>
      <c r="X51" s="4">
        <v>0.19086625115808975</v>
      </c>
      <c r="Y51" s="4">
        <v>0.22313652351738239</v>
      </c>
      <c r="Z51" s="3">
        <v>0.22679540351752528</v>
      </c>
      <c r="AA51" s="4">
        <v>0.22416240164358286</v>
      </c>
      <c r="AB51" s="4">
        <v>0.21029310199612566</v>
      </c>
      <c r="AC51" s="4">
        <v>0.23473734151329242</v>
      </c>
      <c r="AD51" s="5">
        <v>0.36608459123041137</v>
      </c>
      <c r="AE51" s="5">
        <v>0.33092202058824621</v>
      </c>
      <c r="AF51" s="6">
        <v>5.0671488754874137</v>
      </c>
      <c r="AG51" s="6">
        <v>5.4529419870715063</v>
      </c>
      <c r="AH51" s="6">
        <v>4.9428707456032717</v>
      </c>
      <c r="AI51" s="7">
        <v>0.47463159999792298</v>
      </c>
      <c r="AJ51" s="6">
        <v>22.604811682666373</v>
      </c>
      <c r="AK51" s="6">
        <v>25.930199018948176</v>
      </c>
      <c r="AL51" s="6">
        <v>21.057027883752244</v>
      </c>
      <c r="AM51" s="6">
        <v>2.1173559728030793</v>
      </c>
      <c r="AN51" s="6">
        <v>20.074613755356967</v>
      </c>
      <c r="AO51" s="6" t="s">
        <v>290</v>
      </c>
      <c r="AP51" s="6" t="s">
        <v>293</v>
      </c>
      <c r="AQ51" s="6"/>
      <c r="AR51" s="6" t="s">
        <v>354</v>
      </c>
      <c r="AS51" s="119" t="s">
        <v>393</v>
      </c>
    </row>
    <row r="52" spans="1:45" s="122" customFormat="1" ht="12.75" x14ac:dyDescent="0.2">
      <c r="A52" s="119" t="s">
        <v>8</v>
      </c>
      <c r="B52" s="119" t="s">
        <v>139</v>
      </c>
      <c r="C52" s="119">
        <v>324.47000000000003</v>
      </c>
      <c r="D52" s="125"/>
      <c r="E52" s="120">
        <v>135823.14200000002</v>
      </c>
      <c r="F52" s="125"/>
      <c r="G52" s="120">
        <v>136519.14200000002</v>
      </c>
      <c r="H52" s="120">
        <v>23181</v>
      </c>
      <c r="I52" s="121">
        <v>25306.80114942529</v>
      </c>
      <c r="J52" s="121">
        <v>21505</v>
      </c>
      <c r="K52" s="121">
        <v>23869.466931918654</v>
      </c>
      <c r="L52" s="121">
        <v>26080.107111279525</v>
      </c>
      <c r="M52" s="121">
        <v>9943.5329999999994</v>
      </c>
      <c r="N52" s="121">
        <v>9294.1913333333323</v>
      </c>
      <c r="O52" s="121">
        <v>10320.643</v>
      </c>
      <c r="P52" s="121">
        <v>12431.561904761906</v>
      </c>
      <c r="Q52" s="3">
        <v>0.10724852071005908</v>
      </c>
      <c r="R52" s="3">
        <v>0.10665011696185613</v>
      </c>
      <c r="S52" s="80">
        <v>9.1704462681734489E-2</v>
      </c>
      <c r="T52" s="80">
        <v>0.10994963645285538</v>
      </c>
      <c r="U52" s="80">
        <v>9.2613722194389014E-2</v>
      </c>
      <c r="V52" s="3">
        <v>0.90026916666666679</v>
      </c>
      <c r="W52" s="3">
        <v>0.89913083333333343</v>
      </c>
      <c r="X52" s="4">
        <v>0.46107127980934887</v>
      </c>
      <c r="Y52" s="4">
        <v>0.46136872119910299</v>
      </c>
      <c r="Z52" s="3">
        <v>0.41408912471420561</v>
      </c>
      <c r="AA52" s="4">
        <v>0.39291939511785406</v>
      </c>
      <c r="AB52" s="4">
        <v>0.38937573930086317</v>
      </c>
      <c r="AC52" s="4">
        <v>0.39572855111229088</v>
      </c>
      <c r="AD52" s="5">
        <v>0.52073924167606178</v>
      </c>
      <c r="AE52" s="5">
        <v>0.48462385779958855</v>
      </c>
      <c r="AF52" s="6">
        <v>5.3945633505363171</v>
      </c>
      <c r="AG52" s="6">
        <v>5.7194047269419457</v>
      </c>
      <c r="AH52" s="6">
        <v>5.2346081792339003</v>
      </c>
      <c r="AI52" s="7">
        <v>0.58825527054865945</v>
      </c>
      <c r="AJ52" s="6">
        <v>13.729440230147578</v>
      </c>
      <c r="AK52" s="6">
        <v>14.688651987438467</v>
      </c>
      <c r="AL52" s="6">
        <v>13.22777485860135</v>
      </c>
      <c r="AM52" s="6">
        <v>1.4971398150814506</v>
      </c>
      <c r="AN52" s="6">
        <v>10.981656452010782</v>
      </c>
      <c r="AO52" s="6" t="s">
        <v>289</v>
      </c>
      <c r="AP52" s="6" t="s">
        <v>293</v>
      </c>
      <c r="AQ52" s="6"/>
      <c r="AR52" s="6" t="s">
        <v>343</v>
      </c>
      <c r="AS52" s="119" t="s">
        <v>393</v>
      </c>
    </row>
    <row r="53" spans="1:45" s="122" customFormat="1" ht="12.75" x14ac:dyDescent="0.2">
      <c r="A53" s="119" t="s">
        <v>34</v>
      </c>
      <c r="B53" s="119" t="s">
        <v>165</v>
      </c>
      <c r="C53" s="119">
        <v>73.069999999999993</v>
      </c>
      <c r="D53" s="125"/>
      <c r="E53" s="120">
        <v>11360.182670200002</v>
      </c>
      <c r="F53" s="125"/>
      <c r="G53" s="120">
        <v>10704.7616702</v>
      </c>
      <c r="H53" s="120">
        <v>1275.45</v>
      </c>
      <c r="I53" s="121">
        <v>1430.9</v>
      </c>
      <c r="J53" s="121">
        <v>1151.7080000000001</v>
      </c>
      <c r="K53" s="121">
        <v>1313.7894736842106</v>
      </c>
      <c r="L53" s="121">
        <v>1472.047619047619</v>
      </c>
      <c r="M53" s="121">
        <v>248.01500000000001</v>
      </c>
      <c r="N53" s="121">
        <v>185.65700000000001</v>
      </c>
      <c r="O53" s="121">
        <v>262.15300000000002</v>
      </c>
      <c r="P53" s="121">
        <v>317.7</v>
      </c>
      <c r="Q53" s="3">
        <v>0.14521182216063666</v>
      </c>
      <c r="R53" s="3">
        <v>0.14936365741762872</v>
      </c>
      <c r="S53" s="80">
        <v>0.12187855266768599</v>
      </c>
      <c r="T53" s="80">
        <v>0.14073139518368416</v>
      </c>
      <c r="U53" s="80">
        <v>0.12045928859485455</v>
      </c>
      <c r="V53" s="3">
        <v>0.83704000000000012</v>
      </c>
      <c r="W53" s="3">
        <v>0.84064000000000005</v>
      </c>
      <c r="X53" s="4">
        <v>0.14043345885746333</v>
      </c>
      <c r="Y53" s="4">
        <v>0.17479054119626047</v>
      </c>
      <c r="Z53" s="3">
        <v>9.8298639695793638E-2</v>
      </c>
      <c r="AA53" s="4">
        <v>0.17332797540009784</v>
      </c>
      <c r="AB53" s="4">
        <v>0.14131411745853698</v>
      </c>
      <c r="AC53" s="4">
        <v>0.17808730954614566</v>
      </c>
      <c r="AD53" s="5">
        <v>0.24766229711342236</v>
      </c>
      <c r="AE53" s="5">
        <v>0.2952065280677838</v>
      </c>
      <c r="AF53" s="6">
        <v>7.4811389127122778</v>
      </c>
      <c r="AG53" s="6">
        <v>8.1480038351814752</v>
      </c>
      <c r="AH53" s="6">
        <v>7.2720213202924331</v>
      </c>
      <c r="AI53" s="7">
        <v>0.61381914610607069</v>
      </c>
      <c r="AJ53" s="6">
        <v>43.161750983609856</v>
      </c>
      <c r="AK53" s="6">
        <v>57.658809903208599</v>
      </c>
      <c r="AL53" s="6">
        <v>40.834023147551235</v>
      </c>
      <c r="AM53" s="6">
        <v>3.5413737724056067</v>
      </c>
      <c r="AN53" s="6">
        <v>33.694559868429337</v>
      </c>
      <c r="AO53" s="6" t="s">
        <v>290</v>
      </c>
      <c r="AP53" s="6" t="s">
        <v>293</v>
      </c>
      <c r="AQ53" s="6"/>
      <c r="AR53" s="6" t="s">
        <v>352</v>
      </c>
      <c r="AS53" s="119" t="s">
        <v>392</v>
      </c>
    </row>
    <row r="54" spans="1:45" s="122" customFormat="1" ht="12.75" x14ac:dyDescent="0.2">
      <c r="A54" s="119" t="s">
        <v>48</v>
      </c>
      <c r="B54" s="119" t="s">
        <v>179</v>
      </c>
      <c r="C54" s="119">
        <v>18.3</v>
      </c>
      <c r="D54" s="125"/>
      <c r="E54" s="120">
        <v>4382.3021345999996</v>
      </c>
      <c r="F54" s="125"/>
      <c r="G54" s="120">
        <v>3808.4491345999995</v>
      </c>
      <c r="H54" s="120">
        <v>455.90300000000002</v>
      </c>
      <c r="I54" s="121">
        <v>528.5</v>
      </c>
      <c r="J54" s="121">
        <v>401.20299999999997</v>
      </c>
      <c r="K54" s="121">
        <v>472.875</v>
      </c>
      <c r="L54" s="121">
        <v>552.375</v>
      </c>
      <c r="M54" s="121">
        <v>170.19900000000001</v>
      </c>
      <c r="N54" s="121">
        <v>130.80799999999999</v>
      </c>
      <c r="O54" s="121">
        <v>169.65</v>
      </c>
      <c r="P54" s="121">
        <v>143.65714285714287</v>
      </c>
      <c r="Q54" s="3">
        <v>0.1794063149226075</v>
      </c>
      <c r="R54" s="3">
        <v>0.18365020887043798</v>
      </c>
      <c r="S54" s="80">
        <v>0.1592378203258149</v>
      </c>
      <c r="T54" s="80">
        <v>0.17864273198355951</v>
      </c>
      <c r="U54" s="80">
        <v>0.16812053925455994</v>
      </c>
      <c r="V54" s="3">
        <v>0.84397999999999995</v>
      </c>
      <c r="W54" s="3">
        <v>0.84538999999999997</v>
      </c>
      <c r="X54" s="4">
        <v>0.25134972244250597</v>
      </c>
      <c r="Y54" s="4">
        <v>0.25552025345100704</v>
      </c>
      <c r="Z54" s="3">
        <v>0.30763780891987985</v>
      </c>
      <c r="AA54" s="4">
        <v>0.32204162724692531</v>
      </c>
      <c r="AB54" s="4">
        <v>0.27662278614855934</v>
      </c>
      <c r="AC54" s="4">
        <v>0.30712830957230142</v>
      </c>
      <c r="AD54" s="5">
        <v>0.49128801779031783</v>
      </c>
      <c r="AE54" s="5">
        <v>0.48127944757274022</v>
      </c>
      <c r="AF54" s="6">
        <v>7.2061478421948904</v>
      </c>
      <c r="AG54" s="6">
        <v>8.0538178897171555</v>
      </c>
      <c r="AH54" s="6">
        <v>6.8946804880742238</v>
      </c>
      <c r="AI54" s="7">
        <v>0.45253996992991136</v>
      </c>
      <c r="AJ54" s="6">
        <v>22.376448361036193</v>
      </c>
      <c r="AK54" s="6">
        <v>29.114802875970888</v>
      </c>
      <c r="AL54" s="6">
        <v>22.448860209843794</v>
      </c>
      <c r="AM54" s="6">
        <v>1.4052219702110946</v>
      </c>
      <c r="AN54" s="6">
        <v>26.510684111177401</v>
      </c>
      <c r="AO54" s="6" t="s">
        <v>289</v>
      </c>
      <c r="AP54" s="6" t="s">
        <v>293</v>
      </c>
      <c r="AQ54" s="6"/>
      <c r="AR54" s="6"/>
      <c r="AS54" s="119" t="s">
        <v>393</v>
      </c>
    </row>
    <row r="55" spans="1:45" s="122" customFormat="1" ht="12.75" x14ac:dyDescent="0.2">
      <c r="A55" s="119" t="s">
        <v>108</v>
      </c>
      <c r="B55" s="119" t="s">
        <v>239</v>
      </c>
      <c r="C55" s="119">
        <v>22.66</v>
      </c>
      <c r="D55" s="125">
        <v>382</v>
      </c>
      <c r="E55" s="124">
        <v>8656.1200000000008</v>
      </c>
      <c r="F55" s="125">
        <v>894.75900000000001</v>
      </c>
      <c r="G55" s="124">
        <v>7761.3610000000008</v>
      </c>
      <c r="H55" s="120">
        <v>1113.1489999999999</v>
      </c>
      <c r="I55" s="121">
        <v>1298.8302419354839</v>
      </c>
      <c r="J55" s="121">
        <v>963.64200000000005</v>
      </c>
      <c r="K55" s="121">
        <v>1159.909090909091</v>
      </c>
      <c r="L55" s="121">
        <v>1351.4545454545455</v>
      </c>
      <c r="M55" s="121">
        <v>111.982</v>
      </c>
      <c r="N55" s="121">
        <v>41.050000000000004</v>
      </c>
      <c r="O55" s="121">
        <v>123.331</v>
      </c>
      <c r="P55" s="121">
        <v>140.82857142857142</v>
      </c>
      <c r="Q55" s="3">
        <v>0.19314625558055787</v>
      </c>
      <c r="R55" s="3">
        <v>0.21575109817978461</v>
      </c>
      <c r="S55" s="80">
        <v>0.16680717669915168</v>
      </c>
      <c r="T55" s="80">
        <v>0.2036722049361599</v>
      </c>
      <c r="U55" s="80">
        <v>0.16513833372521347</v>
      </c>
      <c r="V55" s="3">
        <v>0.78316000000000008</v>
      </c>
      <c r="W55" s="3">
        <v>0.78430000000000011</v>
      </c>
      <c r="X55" s="4">
        <v>6.9804608511638833E-2</v>
      </c>
      <c r="Y55" s="4">
        <v>9.5968451500067262E-2</v>
      </c>
      <c r="Z55" s="3">
        <v>2.849843102765218E-2</v>
      </c>
      <c r="AA55" s="4">
        <v>8.6217579776343423E-2</v>
      </c>
      <c r="AB55" s="4">
        <v>3.5390704600674033E-2</v>
      </c>
      <c r="AC55" s="4">
        <v>9.1257971209471281E-2</v>
      </c>
      <c r="AD55" s="5">
        <v>0.24424952920743678</v>
      </c>
      <c r="AE55" s="5">
        <v>0.25302475647549511</v>
      </c>
      <c r="AF55" s="6">
        <v>5.9756546694156256</v>
      </c>
      <c r="AG55" s="6">
        <v>6.6913528489693554</v>
      </c>
      <c r="AH55" s="6">
        <v>5.7429685860352482</v>
      </c>
      <c r="AI55" s="7">
        <v>0.35823726458683092</v>
      </c>
      <c r="AJ55" s="6">
        <v>69.309005018663726</v>
      </c>
      <c r="AK55" s="6">
        <v>189.07091352009743</v>
      </c>
      <c r="AL55" s="6">
        <v>62.931144643277037</v>
      </c>
      <c r="AM55" s="6">
        <v>4.1550373545178649</v>
      </c>
      <c r="AN55" s="6">
        <v>55.11211909109354</v>
      </c>
      <c r="AO55" s="6" t="s">
        <v>291</v>
      </c>
      <c r="AP55" s="6" t="s">
        <v>294</v>
      </c>
      <c r="AQ55" s="6"/>
      <c r="AR55" s="6" t="s">
        <v>363</v>
      </c>
      <c r="AS55" s="119" t="s">
        <v>393</v>
      </c>
    </row>
    <row r="56" spans="1:45" s="122" customFormat="1" ht="12.75" x14ac:dyDescent="0.2">
      <c r="A56" s="119" t="s">
        <v>28</v>
      </c>
      <c r="B56" s="119" t="s">
        <v>159</v>
      </c>
      <c r="C56" s="119">
        <v>161.33000000000001</v>
      </c>
      <c r="D56" s="125"/>
      <c r="E56" s="120">
        <v>9077.8785766500005</v>
      </c>
      <c r="F56" s="125"/>
      <c r="G56" s="120">
        <v>8787.3785766500005</v>
      </c>
      <c r="H56" s="120">
        <v>2001.2</v>
      </c>
      <c r="I56" s="121">
        <v>2187.7236842105262</v>
      </c>
      <c r="J56" s="121">
        <v>1883.2</v>
      </c>
      <c r="K56" s="121">
        <v>2050.2105263157896</v>
      </c>
      <c r="L56" s="121">
        <v>2230.85</v>
      </c>
      <c r="M56" s="121">
        <v>424.43900000000002</v>
      </c>
      <c r="N56" s="121">
        <v>365.26300000000003</v>
      </c>
      <c r="O56" s="121">
        <v>463.16500000000002</v>
      </c>
      <c r="P56" s="121">
        <v>939.83684210526314</v>
      </c>
      <c r="Q56" s="3">
        <v>9.1531064270446549E-2</v>
      </c>
      <c r="R56" s="3">
        <v>9.7203261125823059E-2</v>
      </c>
      <c r="S56" s="80">
        <v>9.3205918554130518E-2</v>
      </c>
      <c r="T56" s="80">
        <v>8.8684434109913779E-2</v>
      </c>
      <c r="U56" s="80">
        <v>8.8107768136776565E-2</v>
      </c>
      <c r="V56" s="3">
        <v>0.83716999999999997</v>
      </c>
      <c r="W56" s="3">
        <v>0.83481000000000005</v>
      </c>
      <c r="X56" s="4">
        <v>0.33365012578939257</v>
      </c>
      <c r="Y56" s="4">
        <v>0.3379169374901943</v>
      </c>
      <c r="Z56" s="3">
        <v>0.19489456326204277</v>
      </c>
      <c r="AA56" s="4">
        <v>0.1940094185857687</v>
      </c>
      <c r="AB56" s="4">
        <v>0.17815877701904811</v>
      </c>
      <c r="AC56" s="4">
        <v>0.20761817244548045</v>
      </c>
      <c r="AD56" s="5">
        <v>0.2920978243878658</v>
      </c>
      <c r="AE56" s="5">
        <v>0.28721533713989922</v>
      </c>
      <c r="AF56" s="6">
        <v>4.0166766214907348</v>
      </c>
      <c r="AG56" s="6">
        <v>4.2860859720786051</v>
      </c>
      <c r="AH56" s="6">
        <v>3.9390270868278909</v>
      </c>
      <c r="AI56" s="7">
        <v>0.43094651968458403</v>
      </c>
      <c r="AJ56" s="6">
        <v>20.703513524087089</v>
      </c>
      <c r="AK56" s="6">
        <v>24.057675090688079</v>
      </c>
      <c r="AL56" s="6">
        <v>18.972458144829595</v>
      </c>
      <c r="AM56" s="6">
        <v>2.221265971652139</v>
      </c>
      <c r="AN56" s="6">
        <v>9.3498979641679139</v>
      </c>
      <c r="AO56" s="6" t="s">
        <v>289</v>
      </c>
      <c r="AP56" s="6" t="s">
        <v>293</v>
      </c>
      <c r="AQ56" s="6"/>
      <c r="AR56" s="6" t="s">
        <v>352</v>
      </c>
      <c r="AS56" s="119" t="s">
        <v>392</v>
      </c>
    </row>
    <row r="57" spans="1:45" s="122" customFormat="1" ht="12.75" x14ac:dyDescent="0.2">
      <c r="A57" s="119" t="s">
        <v>112</v>
      </c>
      <c r="B57" s="119" t="s">
        <v>243</v>
      </c>
      <c r="C57" s="119">
        <v>44.27</v>
      </c>
      <c r="D57" s="125">
        <v>168.2</v>
      </c>
      <c r="E57" s="124">
        <v>7446.2139999999999</v>
      </c>
      <c r="F57" s="125">
        <v>1165</v>
      </c>
      <c r="G57" s="124">
        <v>6281.2139999999999</v>
      </c>
      <c r="H57" s="120">
        <v>857.947</v>
      </c>
      <c r="I57" s="121">
        <v>1030.1851851851852</v>
      </c>
      <c r="J57" s="121">
        <v>759.24900000000002</v>
      </c>
      <c r="K57" s="121">
        <v>928.20885507246362</v>
      </c>
      <c r="L57" s="121">
        <v>1115.6792431561996</v>
      </c>
      <c r="M57" s="121">
        <v>194.387</v>
      </c>
      <c r="N57" s="121">
        <v>212.61100000000002</v>
      </c>
      <c r="O57" s="121">
        <v>237.49933333333331</v>
      </c>
      <c r="P57" s="121">
        <v>157.03888888888889</v>
      </c>
      <c r="Q57" s="3">
        <v>0.29233667791263196</v>
      </c>
      <c r="R57" s="3">
        <v>0.28972306822725791</v>
      </c>
      <c r="S57" s="80">
        <v>0.20075620660155602</v>
      </c>
      <c r="T57" s="80">
        <v>0.22253549898974323</v>
      </c>
      <c r="U57" s="80">
        <v>0.20197004915353944</v>
      </c>
      <c r="V57" s="3">
        <v>0.9015483333333334</v>
      </c>
      <c r="W57" s="3">
        <v>0.90157750000000003</v>
      </c>
      <c r="X57" s="4">
        <v>0.14599946904128636</v>
      </c>
      <c r="Y57" s="4">
        <v>0.15738364565243007</v>
      </c>
      <c r="Z57" s="3">
        <v>4.1768314359744874E-2</v>
      </c>
      <c r="AA57" s="4">
        <v>0.18869131763436994</v>
      </c>
      <c r="AB57" s="4">
        <v>0.22905513003687286</v>
      </c>
      <c r="AC57" s="4">
        <v>0.21287420626510881</v>
      </c>
      <c r="AD57" s="5">
        <v>0.33149138258700278</v>
      </c>
      <c r="AE57" s="5">
        <v>0.38944752423592599</v>
      </c>
      <c r="AF57" s="6">
        <v>6.0971698004673733</v>
      </c>
      <c r="AG57" s="6">
        <v>6.7670265863921726</v>
      </c>
      <c r="AH57" s="6">
        <v>5.6299460965418398</v>
      </c>
      <c r="AI57" s="7">
        <v>0.30371015191418327</v>
      </c>
      <c r="AJ57" s="6">
        <v>32.31293244918642</v>
      </c>
      <c r="AK57" s="6">
        <v>29.543222128676312</v>
      </c>
      <c r="AL57" s="6">
        <v>26.447291080115313</v>
      </c>
      <c r="AM57" s="6">
        <v>1.609560819871358</v>
      </c>
      <c r="AN57" s="6">
        <v>39.997825025648282</v>
      </c>
      <c r="AO57" s="6" t="s">
        <v>291</v>
      </c>
      <c r="AP57" s="6" t="s">
        <v>294</v>
      </c>
      <c r="AQ57" s="6"/>
      <c r="AR57" s="6" t="s">
        <v>340</v>
      </c>
      <c r="AS57" s="119" t="s">
        <v>393</v>
      </c>
    </row>
    <row r="58" spans="1:45" s="122" customFormat="1" ht="12.75" x14ac:dyDescent="0.2">
      <c r="A58" s="119" t="s">
        <v>43</v>
      </c>
      <c r="B58" s="119" t="s">
        <v>174</v>
      </c>
      <c r="C58" s="119">
        <v>78.650000000000006</v>
      </c>
      <c r="D58" s="125"/>
      <c r="E58" s="120">
        <v>2965.8202431000004</v>
      </c>
      <c r="F58" s="125"/>
      <c r="G58" s="120">
        <v>2841.7392431000003</v>
      </c>
      <c r="H58" s="120">
        <v>729.76</v>
      </c>
      <c r="I58" s="121">
        <v>794.99999999999989</v>
      </c>
      <c r="J58" s="121">
        <v>637.76499999999999</v>
      </c>
      <c r="K58" s="121">
        <v>752.33333333333337</v>
      </c>
      <c r="L58" s="121">
        <v>807.91666666666663</v>
      </c>
      <c r="M58" s="121">
        <v>197.59</v>
      </c>
      <c r="N58" s="121">
        <v>170.24199999999999</v>
      </c>
      <c r="O58" s="121">
        <v>193.83100000000002</v>
      </c>
      <c r="P58" s="121">
        <v>251.87666666666664</v>
      </c>
      <c r="Q58" s="3">
        <v>0.16017252544505944</v>
      </c>
      <c r="R58" s="3">
        <v>0.19276326650027847</v>
      </c>
      <c r="S58" s="80">
        <v>8.9399254549440865E-2</v>
      </c>
      <c r="T58" s="80">
        <v>0.17964035864830064</v>
      </c>
      <c r="U58" s="80">
        <v>7.3881258307487707E-2</v>
      </c>
      <c r="V58" s="3">
        <v>0.70010000000000006</v>
      </c>
      <c r="W58" s="3">
        <v>0.70594000000000012</v>
      </c>
      <c r="X58" s="4">
        <v>0.27743952148870182</v>
      </c>
      <c r="Y58" s="4">
        <v>0.29323445074780813</v>
      </c>
      <c r="Z58" s="3">
        <v>0.20334630563472925</v>
      </c>
      <c r="AA58" s="4">
        <v>0.24854088050314468</v>
      </c>
      <c r="AB58" s="4">
        <v>0.2262853345148427</v>
      </c>
      <c r="AC58" s="4">
        <v>0.23991459515214031</v>
      </c>
      <c r="AD58" s="5">
        <v>0.39610957213500775</v>
      </c>
      <c r="AE58" s="5">
        <v>0.33794013505258558</v>
      </c>
      <c r="AF58" s="6">
        <v>3.5745147711949694</v>
      </c>
      <c r="AG58" s="6">
        <v>3.7772342619849359</v>
      </c>
      <c r="AH58" s="6">
        <v>3.517366778463126</v>
      </c>
      <c r="AI58" s="7">
        <v>0.39983720101582498</v>
      </c>
      <c r="AJ58" s="6">
        <v>14.381999307151172</v>
      </c>
      <c r="AK58" s="6">
        <v>16.692351141903881</v>
      </c>
      <c r="AL58" s="6">
        <v>14.660912047608484</v>
      </c>
      <c r="AM58" s="6">
        <v>1.6087381689740412</v>
      </c>
      <c r="AN58" s="6">
        <v>11.282264771515162</v>
      </c>
      <c r="AO58" s="6" t="s">
        <v>289</v>
      </c>
      <c r="AP58" s="6" t="s">
        <v>293</v>
      </c>
      <c r="AQ58" s="6"/>
      <c r="AR58" s="6"/>
      <c r="AS58" s="119" t="s">
        <v>392</v>
      </c>
    </row>
    <row r="59" spans="1:45" s="122" customFormat="1" ht="12.75" x14ac:dyDescent="0.2">
      <c r="A59" s="119" t="s">
        <v>13</v>
      </c>
      <c r="B59" s="119" t="s">
        <v>144</v>
      </c>
      <c r="C59" s="119">
        <v>225.64</v>
      </c>
      <c r="D59" s="125"/>
      <c r="E59" s="120">
        <v>60245.88</v>
      </c>
      <c r="F59" s="125"/>
      <c r="G59" s="120">
        <v>55821.88</v>
      </c>
      <c r="H59" s="120">
        <v>8959</v>
      </c>
      <c r="I59" s="121">
        <v>10107.411769480521</v>
      </c>
      <c r="J59" s="121">
        <v>8446</v>
      </c>
      <c r="K59" s="121">
        <v>9415.3158385093175</v>
      </c>
      <c r="L59" s="121">
        <v>10609.375541166106</v>
      </c>
      <c r="M59" s="121">
        <v>2872.0059999999999</v>
      </c>
      <c r="N59" s="121">
        <v>2617.0966666666668</v>
      </c>
      <c r="O59" s="121">
        <v>3107.6343333333334</v>
      </c>
      <c r="P59" s="121">
        <v>3317.4044289044286</v>
      </c>
      <c r="Q59" s="3">
        <v>0.1261390887290168</v>
      </c>
      <c r="R59" s="3">
        <v>0.13943409844613949</v>
      </c>
      <c r="S59" s="80">
        <v>0.12818526280617482</v>
      </c>
      <c r="T59" s="80">
        <v>0.11476626077543428</v>
      </c>
      <c r="U59" s="80">
        <v>0.12682099285219928</v>
      </c>
      <c r="V59" s="3">
        <v>0.79158683083333325</v>
      </c>
      <c r="W59" s="3">
        <v>0.80010749999999997</v>
      </c>
      <c r="X59" s="4">
        <v>0.28802637955506855</v>
      </c>
      <c r="Y59" s="4">
        <v>0.31036630326545561</v>
      </c>
      <c r="Z59" s="3">
        <v>0.26721732336198234</v>
      </c>
      <c r="AA59" s="4">
        <v>0.28414851056845875</v>
      </c>
      <c r="AB59" s="4">
        <v>0.27796164372548754</v>
      </c>
      <c r="AC59" s="4">
        <v>0.29291397229508992</v>
      </c>
      <c r="AD59" s="5">
        <v>0.40665142180812186</v>
      </c>
      <c r="AE59" s="5">
        <v>0.41233377337463356</v>
      </c>
      <c r="AF59" s="6">
        <v>5.5228659198940511</v>
      </c>
      <c r="AG59" s="6">
        <v>5.928837753024121</v>
      </c>
      <c r="AH59" s="6">
        <v>5.2615613221911133</v>
      </c>
      <c r="AI59" s="7">
        <v>0.43085030205422403</v>
      </c>
      <c r="AJ59" s="6">
        <v>19.43654713813272</v>
      </c>
      <c r="AK59" s="6">
        <v>21.329697412781847</v>
      </c>
      <c r="AL59" s="6">
        <v>17.962821237118952</v>
      </c>
      <c r="AM59" s="6">
        <v>1.5162856254015842</v>
      </c>
      <c r="AN59" s="6">
        <v>16.826974580978405</v>
      </c>
      <c r="AO59" s="6" t="s">
        <v>289</v>
      </c>
      <c r="AP59" s="6" t="s">
        <v>293</v>
      </c>
      <c r="AQ59" s="6"/>
      <c r="AR59" s="6" t="s">
        <v>351</v>
      </c>
      <c r="AS59" s="119" t="s">
        <v>392</v>
      </c>
    </row>
    <row r="60" spans="1:45" s="122" customFormat="1" ht="12.75" x14ac:dyDescent="0.2">
      <c r="A60" s="119" t="s">
        <v>31</v>
      </c>
      <c r="B60" s="119" t="s">
        <v>162</v>
      </c>
      <c r="C60" s="119">
        <v>37</v>
      </c>
      <c r="D60" s="125"/>
      <c r="E60" s="120">
        <v>15832.775190999999</v>
      </c>
      <c r="F60" s="125"/>
      <c r="G60" s="120">
        <v>16515.013190999998</v>
      </c>
      <c r="H60" s="120">
        <v>1803.6579999999999</v>
      </c>
      <c r="I60" s="121">
        <v>1990.5675057208239</v>
      </c>
      <c r="J60" s="121">
        <v>1813.2550000000001</v>
      </c>
      <c r="K60" s="121">
        <v>1833.7931034482758</v>
      </c>
      <c r="L60" s="121">
        <v>2051.6206896551726</v>
      </c>
      <c r="M60" s="121">
        <v>405.40500000000003</v>
      </c>
      <c r="N60" s="121">
        <v>373.27300000000002</v>
      </c>
      <c r="O60" s="121">
        <v>481.16899999999998</v>
      </c>
      <c r="P60" s="121">
        <v>464.35867091972358</v>
      </c>
      <c r="Q60" s="3">
        <v>5.3968829854182498E-2</v>
      </c>
      <c r="R60" s="3">
        <v>-8.2305904476591363E-2</v>
      </c>
      <c r="S60" s="80">
        <v>0.10362801912603392</v>
      </c>
      <c r="T60" s="80">
        <v>1.1326649284450152E-2</v>
      </c>
      <c r="U60" s="80">
        <v>0.11878525761564518</v>
      </c>
      <c r="V60" s="3">
        <v>0.82791999999999999</v>
      </c>
      <c r="W60" s="3">
        <v>0.83440000000000003</v>
      </c>
      <c r="X60" s="4">
        <v>0.20173377209477247</v>
      </c>
      <c r="Y60" s="4">
        <v>0.18421582600803402</v>
      </c>
      <c r="Z60" s="3">
        <v>0.21678111925875088</v>
      </c>
      <c r="AA60" s="4">
        <v>0.20366302515985002</v>
      </c>
      <c r="AB60" s="4">
        <v>0.20355240691989471</v>
      </c>
      <c r="AC60" s="4">
        <v>0.2345311696388053</v>
      </c>
      <c r="AD60" s="5">
        <v>0.13447521478215951</v>
      </c>
      <c r="AE60" s="5">
        <v>0.30729104428588394</v>
      </c>
      <c r="AF60" s="6">
        <v>8.2966355793191671</v>
      </c>
      <c r="AG60" s="6">
        <v>9.0059304727153062</v>
      </c>
      <c r="AH60" s="6">
        <v>8.0497400295645143</v>
      </c>
      <c r="AI60" s="7">
        <v>0.80061701934383955</v>
      </c>
      <c r="AJ60" s="6">
        <v>40.737073274873268</v>
      </c>
      <c r="AK60" s="6">
        <v>44.243792588802293</v>
      </c>
      <c r="AL60" s="6">
        <v>34.322687436223028</v>
      </c>
      <c r="AM60" s="6">
        <v>3.9310867483945864</v>
      </c>
      <c r="AN60" s="6">
        <v>35.565209018903076</v>
      </c>
      <c r="AO60" s="6" t="s">
        <v>289</v>
      </c>
      <c r="AP60" s="6" t="s">
        <v>293</v>
      </c>
      <c r="AQ60" s="6"/>
      <c r="AR60" s="6"/>
      <c r="AS60" s="119" t="s">
        <v>392</v>
      </c>
    </row>
    <row r="61" spans="1:45" s="122" customFormat="1" ht="12.75" x14ac:dyDescent="0.2">
      <c r="A61" s="119" t="s">
        <v>102</v>
      </c>
      <c r="B61" s="119" t="s">
        <v>233</v>
      </c>
      <c r="C61" s="119">
        <v>337.86</v>
      </c>
      <c r="D61" s="125">
        <v>81.714309999999998</v>
      </c>
      <c r="E61" s="124">
        <v>27607.996776600001</v>
      </c>
      <c r="F61" s="125">
        <v>2262.5659999999989</v>
      </c>
      <c r="G61" s="124">
        <v>25345.430776600002</v>
      </c>
      <c r="H61" s="120">
        <v>2218.1889999999999</v>
      </c>
      <c r="I61" s="121">
        <v>2544.0063921063925</v>
      </c>
      <c r="J61" s="121">
        <v>2006.443</v>
      </c>
      <c r="K61" s="121">
        <v>2335.6706857944901</v>
      </c>
      <c r="L61" s="121">
        <v>2725.8485546054972</v>
      </c>
      <c r="M61" s="121">
        <v>254.779</v>
      </c>
      <c r="N61" s="121">
        <v>239.19166666666669</v>
      </c>
      <c r="O61" s="121">
        <v>312.178</v>
      </c>
      <c r="P61" s="121">
        <v>367.41959064327483</v>
      </c>
      <c r="Q61" s="3">
        <v>0.23696060940078523</v>
      </c>
      <c r="R61" s="3">
        <v>0.21904638906139234</v>
      </c>
      <c r="S61" s="80">
        <v>0.14688441431563892</v>
      </c>
      <c r="T61" s="80">
        <v>0.16408524228921029</v>
      </c>
      <c r="U61" s="80">
        <v>0.16705174714229298</v>
      </c>
      <c r="V61" s="3">
        <v>0.74209749999999997</v>
      </c>
      <c r="W61" s="3">
        <v>0.74495250000000002</v>
      </c>
      <c r="X61" s="4">
        <v>0.14617443092890436</v>
      </c>
      <c r="Y61" s="4">
        <v>0.15272463811327897</v>
      </c>
      <c r="Z61" s="3">
        <v>0.10815219081872643</v>
      </c>
      <c r="AA61" s="4">
        <v>0.10014872635168479</v>
      </c>
      <c r="AB61" s="4">
        <v>0.10240812975965594</v>
      </c>
      <c r="AC61" s="4">
        <v>0.11452507127461468</v>
      </c>
      <c r="AD61" s="5">
        <v>0.3271985798801188</v>
      </c>
      <c r="AE61" s="5">
        <v>0.24703314066732371</v>
      </c>
      <c r="AF61" s="6">
        <v>9.9628015303901929</v>
      </c>
      <c r="AG61" s="6">
        <v>10.85145732690421</v>
      </c>
      <c r="AH61" s="6">
        <v>9.2981800965344394</v>
      </c>
      <c r="AI61" s="7">
        <v>0.67827492636360975</v>
      </c>
      <c r="AJ61" s="6">
        <v>99.480062236683565</v>
      </c>
      <c r="AK61" s="6">
        <v>105.96285033592306</v>
      </c>
      <c r="AL61" s="6">
        <v>81.189035667471771</v>
      </c>
      <c r="AM61" s="6">
        <v>6.7726765089529195</v>
      </c>
      <c r="AN61" s="6">
        <v>68.982251959470787</v>
      </c>
      <c r="AO61" s="6" t="s">
        <v>291</v>
      </c>
      <c r="AP61" s="6" t="s">
        <v>294</v>
      </c>
      <c r="AQ61" s="6"/>
      <c r="AR61" s="6" t="s">
        <v>363</v>
      </c>
      <c r="AS61" s="119" t="s">
        <v>393</v>
      </c>
    </row>
    <row r="62" spans="1:45" s="122" customFormat="1" ht="12.75" x14ac:dyDescent="0.2">
      <c r="A62" s="119" t="s">
        <v>106</v>
      </c>
      <c r="B62" s="119" t="s">
        <v>237</v>
      </c>
      <c r="C62" s="119">
        <v>54.24</v>
      </c>
      <c r="D62" s="125">
        <v>184</v>
      </c>
      <c r="E62" s="124">
        <v>9980.16</v>
      </c>
      <c r="F62" s="125">
        <v>351.4</v>
      </c>
      <c r="G62" s="124">
        <v>9628.76</v>
      </c>
      <c r="H62" s="120">
        <v>1732.325</v>
      </c>
      <c r="I62" s="121">
        <v>1793.0757575757577</v>
      </c>
      <c r="J62" s="121">
        <v>1497.18</v>
      </c>
      <c r="K62" s="121">
        <v>1736</v>
      </c>
      <c r="L62" s="121">
        <v>1846.3333333333333</v>
      </c>
      <c r="M62" s="121">
        <v>505.334</v>
      </c>
      <c r="N62" s="121">
        <v>457.649</v>
      </c>
      <c r="O62" s="121">
        <v>562.40499999999997</v>
      </c>
      <c r="P62" s="121">
        <v>465.62</v>
      </c>
      <c r="Q62" s="3">
        <v>0.17320412244270122</v>
      </c>
      <c r="R62" s="3">
        <v>0.17002896831856112</v>
      </c>
      <c r="S62" s="80">
        <v>3.5068914652711003E-2</v>
      </c>
      <c r="T62" s="80">
        <v>0.15951321818351838</v>
      </c>
      <c r="U62" s="80">
        <v>6.3556067588325549E-2</v>
      </c>
      <c r="V62" s="3">
        <v>0.77189000000000008</v>
      </c>
      <c r="W62" s="3">
        <v>0.77626000000000006</v>
      </c>
      <c r="X62" s="4">
        <v>0.2622885944700461</v>
      </c>
      <c r="Y62" s="4">
        <v>0.27252229644340137</v>
      </c>
      <c r="Z62" s="3">
        <v>0.24865368796270912</v>
      </c>
      <c r="AA62" s="4">
        <v>0.28182523681164073</v>
      </c>
      <c r="AB62" s="4">
        <v>0.26362269585253456</v>
      </c>
      <c r="AC62" s="4">
        <v>0.30460642715291569</v>
      </c>
      <c r="AD62" s="5">
        <v>0.41868265628127022</v>
      </c>
      <c r="AE62" s="5">
        <v>0.31689415146435174</v>
      </c>
      <c r="AF62" s="6">
        <v>5.3699683124477149</v>
      </c>
      <c r="AG62" s="6">
        <v>5.5465207373271888</v>
      </c>
      <c r="AH62" s="6">
        <v>5.2150713125112835</v>
      </c>
      <c r="AI62" s="7">
        <v>1.5312616217601105</v>
      </c>
      <c r="AJ62" s="6">
        <v>19.054249268800437</v>
      </c>
      <c r="AK62" s="6">
        <v>21.039617698279688</v>
      </c>
      <c r="AL62" s="6">
        <v>17.120687049368339</v>
      </c>
      <c r="AM62" s="6">
        <v>5.4333729622075566</v>
      </c>
      <c r="AN62" s="6">
        <v>20.679438168463555</v>
      </c>
      <c r="AO62" s="6" t="s">
        <v>291</v>
      </c>
      <c r="AP62" s="6" t="s">
        <v>294</v>
      </c>
      <c r="AQ62" s="6"/>
      <c r="AR62" s="6"/>
      <c r="AS62" s="119" t="s">
        <v>393</v>
      </c>
    </row>
    <row r="63" spans="1:45" s="122" customFormat="1" ht="12.75" x14ac:dyDescent="0.2">
      <c r="A63" s="119" t="s">
        <v>5</v>
      </c>
      <c r="B63" s="119" t="s">
        <v>136</v>
      </c>
      <c r="C63" s="119">
        <v>233.5</v>
      </c>
      <c r="D63" s="129"/>
      <c r="E63" s="120">
        <v>222292</v>
      </c>
      <c r="F63" s="129"/>
      <c r="G63" s="120">
        <v>218729</v>
      </c>
      <c r="H63" s="120">
        <v>39502</v>
      </c>
      <c r="I63" s="121">
        <v>43021.550865800862</v>
      </c>
      <c r="J63" s="121">
        <v>37895</v>
      </c>
      <c r="K63" s="121">
        <v>40941.864530397135</v>
      </c>
      <c r="L63" s="121">
        <v>44561.309719657547</v>
      </c>
      <c r="M63" s="121">
        <v>14766.558000000001</v>
      </c>
      <c r="N63" s="121">
        <v>13657.603666666666</v>
      </c>
      <c r="O63" s="121">
        <v>15215.676333333337</v>
      </c>
      <c r="P63" s="121">
        <v>18203.309523809523</v>
      </c>
      <c r="Q63" s="3">
        <v>9.7694369973190254E-2</v>
      </c>
      <c r="R63" s="3">
        <v>8.3285342108871521E-2</v>
      </c>
      <c r="S63" s="80">
        <v>8.9098042271299249E-2</v>
      </c>
      <c r="T63" s="80">
        <v>8.0402811199291158E-2</v>
      </c>
      <c r="U63" s="80">
        <v>8.8404503086887187E-2</v>
      </c>
      <c r="V63" s="3">
        <v>0.79999770166666662</v>
      </c>
      <c r="W63" s="3">
        <v>0.8051625</v>
      </c>
      <c r="X63" s="4">
        <v>0.3380113066308662</v>
      </c>
      <c r="Y63" s="4">
        <v>0.34882714244990531</v>
      </c>
      <c r="Z63" s="3">
        <v>0.31603463115791608</v>
      </c>
      <c r="AA63" s="4">
        <v>0.34323630140768324</v>
      </c>
      <c r="AB63" s="4">
        <v>0.33358528790320796</v>
      </c>
      <c r="AC63" s="4">
        <v>0.34145487260265989</v>
      </c>
      <c r="AD63" s="5">
        <v>0.39931997326678759</v>
      </c>
      <c r="AE63" s="5">
        <v>0.43233434367898249</v>
      </c>
      <c r="AF63" s="6">
        <v>5.0841728296195461</v>
      </c>
      <c r="AG63" s="6">
        <v>5.3424288929881412</v>
      </c>
      <c r="AH63" s="6">
        <v>4.9084957640621365</v>
      </c>
      <c r="AI63" s="7">
        <v>0.57062677248715343</v>
      </c>
      <c r="AJ63" s="6">
        <v>14.812456633428047</v>
      </c>
      <c r="AK63" s="6">
        <v>16.015181384552797</v>
      </c>
      <c r="AL63" s="6">
        <v>14.375240062173594</v>
      </c>
      <c r="AM63" s="6">
        <v>1.6624895739375316</v>
      </c>
      <c r="AN63" s="6">
        <v>12.015891929646493</v>
      </c>
      <c r="AO63" s="6" t="s">
        <v>289</v>
      </c>
      <c r="AP63" s="6" t="s">
        <v>293</v>
      </c>
      <c r="AQ63" s="6"/>
      <c r="AR63" s="6" t="s">
        <v>342</v>
      </c>
      <c r="AS63" s="119" t="s">
        <v>392</v>
      </c>
    </row>
    <row r="64" spans="1:45" s="122" customFormat="1" ht="12.75" x14ac:dyDescent="0.2">
      <c r="A64" s="119" t="s">
        <v>58</v>
      </c>
      <c r="B64" s="119" t="s">
        <v>189</v>
      </c>
      <c r="C64" s="119">
        <v>20.74</v>
      </c>
      <c r="D64" s="129"/>
      <c r="E64" s="120">
        <v>2177.7831881399998</v>
      </c>
      <c r="F64" s="129"/>
      <c r="G64" s="120">
        <v>2104.5971881399996</v>
      </c>
      <c r="H64" s="120">
        <v>412.50400000000002</v>
      </c>
      <c r="I64" s="121">
        <v>520.79999999999995</v>
      </c>
      <c r="J64" s="121">
        <v>333.84899999999999</v>
      </c>
      <c r="K64" s="121">
        <v>442.88888888888891</v>
      </c>
      <c r="L64" s="121">
        <v>548.20000000000005</v>
      </c>
      <c r="M64" s="121">
        <v>60.816000000000003</v>
      </c>
      <c r="N64" s="121">
        <v>39.463999999999999</v>
      </c>
      <c r="O64" s="121">
        <v>72.554000000000002</v>
      </c>
      <c r="P64" s="121">
        <v>90.198888888888902</v>
      </c>
      <c r="Q64" s="3">
        <v>0.31485577258864317</v>
      </c>
      <c r="R64" s="3">
        <v>0.30720428948986234</v>
      </c>
      <c r="S64" s="80">
        <v>0.26253321179915812</v>
      </c>
      <c r="T64" s="80">
        <v>0.32661439419884108</v>
      </c>
      <c r="U64" s="80">
        <v>0.23778223783241348</v>
      </c>
      <c r="V64" s="3">
        <v>0.64461000000000002</v>
      </c>
      <c r="W64" s="3">
        <v>0.65693000000000001</v>
      </c>
      <c r="X64" s="4">
        <v>0.12066876926385205</v>
      </c>
      <c r="Y64" s="4">
        <v>0.18856439255746077</v>
      </c>
      <c r="Z64" s="3">
        <v>7.5383511432616415E-2</v>
      </c>
      <c r="AA64" s="4">
        <v>0.11677419354838711</v>
      </c>
      <c r="AB64" s="4">
        <v>8.9105870546914198E-2</v>
      </c>
      <c r="AC64" s="4">
        <v>0.13234950747902224</v>
      </c>
      <c r="AD64" s="5">
        <v>0.38258780092247874</v>
      </c>
      <c r="AE64" s="5">
        <v>0.37930740534754526</v>
      </c>
      <c r="AF64" s="6">
        <v>4.0410852306835636</v>
      </c>
      <c r="AG64" s="6">
        <v>4.7519755878725531</v>
      </c>
      <c r="AH64" s="6">
        <v>3.8391046846771242</v>
      </c>
      <c r="AI64" s="7">
        <v>0.15392662905351018</v>
      </c>
      <c r="AJ64" s="6">
        <v>34.605978494803992</v>
      </c>
      <c r="AK64" s="6">
        <v>53.329545614737476</v>
      </c>
      <c r="AL64" s="6">
        <v>29.007321279874294</v>
      </c>
      <c r="AM64" s="6">
        <v>1.3181562156516065</v>
      </c>
      <c r="AN64" s="6">
        <v>23.332850482587855</v>
      </c>
      <c r="AO64" s="6" t="s">
        <v>290</v>
      </c>
      <c r="AP64" s="6" t="s">
        <v>293</v>
      </c>
      <c r="AQ64" s="6"/>
      <c r="AR64" s="6"/>
      <c r="AS64" s="119" t="s">
        <v>392</v>
      </c>
    </row>
    <row r="65" spans="1:45" s="122" customFormat="1" ht="12.75" x14ac:dyDescent="0.2">
      <c r="A65" s="119" t="s">
        <v>33</v>
      </c>
      <c r="B65" s="119" t="s">
        <v>164</v>
      </c>
      <c r="C65" s="119">
        <v>144.91</v>
      </c>
      <c r="D65" s="129"/>
      <c r="E65" s="120">
        <v>7880.4386703699993</v>
      </c>
      <c r="F65" s="129"/>
      <c r="G65" s="120">
        <v>7850.7916703699993</v>
      </c>
      <c r="H65" s="120">
        <v>1640.4369999999999</v>
      </c>
      <c r="I65" s="121">
        <v>1751.1900584795324</v>
      </c>
      <c r="J65" s="121">
        <v>1595.221</v>
      </c>
      <c r="K65" s="121">
        <v>1672.0681111111112</v>
      </c>
      <c r="L65" s="121">
        <v>1782.8142414860683</v>
      </c>
      <c r="M65" s="121">
        <v>432.072</v>
      </c>
      <c r="N65" s="121">
        <v>378.82900000000001</v>
      </c>
      <c r="O65" s="121">
        <v>429.90900000000005</v>
      </c>
      <c r="P65" s="121">
        <v>622.00952380952378</v>
      </c>
      <c r="Q65" s="3">
        <v>0.12457708372364706</v>
      </c>
      <c r="R65" s="3">
        <v>0.13298846248148188</v>
      </c>
      <c r="S65" s="80">
        <v>6.7514362623820601E-2</v>
      </c>
      <c r="T65" s="80">
        <v>4.817333216595765E-2</v>
      </c>
      <c r="U65" s="80">
        <v>6.6233025819363744E-2</v>
      </c>
      <c r="V65" s="3">
        <v>0.71754999999999991</v>
      </c>
      <c r="W65" s="3">
        <v>0.74810500000000002</v>
      </c>
      <c r="X65" s="4">
        <v>0.30457012882183893</v>
      </c>
      <c r="Y65" s="4">
        <v>0.30253740824417502</v>
      </c>
      <c r="Z65" s="3">
        <v>0.20484358740994016</v>
      </c>
      <c r="AA65" s="4">
        <v>0.24673050072882766</v>
      </c>
      <c r="AB65" s="4">
        <v>0.22656313907467751</v>
      </c>
      <c r="AC65" s="4">
        <v>0.24114065840176852</v>
      </c>
      <c r="AD65" s="5">
        <v>0.33783204989142201</v>
      </c>
      <c r="AE65" s="5">
        <v>0.31424486335264823</v>
      </c>
      <c r="AF65" s="6">
        <v>4.4831179987319221</v>
      </c>
      <c r="AG65" s="6">
        <v>4.6952582961187179</v>
      </c>
      <c r="AH65" s="6">
        <v>4.4035948825638487</v>
      </c>
      <c r="AI65" s="7">
        <v>0.664024338600536</v>
      </c>
      <c r="AJ65" s="6">
        <v>18.170100516511134</v>
      </c>
      <c r="AK65" s="6">
        <v>20.723840229681464</v>
      </c>
      <c r="AL65" s="6">
        <v>18.261519694563265</v>
      </c>
      <c r="AM65" s="6">
        <v>2.6912940906740204</v>
      </c>
      <c r="AN65" s="6">
        <v>12.621658302412303</v>
      </c>
      <c r="AO65" s="6" t="s">
        <v>289</v>
      </c>
      <c r="AP65" s="6" t="s">
        <v>293</v>
      </c>
      <c r="AQ65" s="6"/>
      <c r="AR65" s="6" t="s">
        <v>352</v>
      </c>
      <c r="AS65" s="119" t="s">
        <v>392</v>
      </c>
    </row>
    <row r="66" spans="1:45" s="122" customFormat="1" ht="12.75" x14ac:dyDescent="0.2">
      <c r="A66" s="119" t="s">
        <v>19</v>
      </c>
      <c r="B66" s="119" t="s">
        <v>150</v>
      </c>
      <c r="C66" s="119">
        <v>125.28</v>
      </c>
      <c r="D66" s="129"/>
      <c r="E66" s="120">
        <v>16930.54202832</v>
      </c>
      <c r="F66" s="129"/>
      <c r="G66" s="120">
        <v>19856.442028320002</v>
      </c>
      <c r="H66" s="120">
        <v>4869.8</v>
      </c>
      <c r="I66" s="121">
        <v>5188.6066176470586</v>
      </c>
      <c r="J66" s="121">
        <v>4573.2</v>
      </c>
      <c r="K66" s="121">
        <v>4944.666666666667</v>
      </c>
      <c r="L66" s="121">
        <v>5283.833333333333</v>
      </c>
      <c r="M66" s="121">
        <v>1718.2619999999999</v>
      </c>
      <c r="N66" s="121">
        <v>1606.2450000000001</v>
      </c>
      <c r="O66" s="121">
        <v>1773.6369999999999</v>
      </c>
      <c r="P66" s="121">
        <v>1694.5374999999999</v>
      </c>
      <c r="Q66" s="3">
        <v>0.10256186824677593</v>
      </c>
      <c r="R66" s="3">
        <v>8.6790600102657878E-2</v>
      </c>
      <c r="S66" s="80">
        <v>6.5466059724641257E-2</v>
      </c>
      <c r="T66" s="80">
        <v>8.1226857925887241E-2</v>
      </c>
      <c r="U66" s="80">
        <v>6.8592422812457698E-2</v>
      </c>
      <c r="V66" s="3">
        <v>0.63527</v>
      </c>
      <c r="W66" s="3">
        <v>0.63746999999999998</v>
      </c>
      <c r="X66" s="4">
        <v>0.22764790346501279</v>
      </c>
      <c r="Y66" s="4">
        <v>0.24368122890578184</v>
      </c>
      <c r="Z66" s="3">
        <v>0.31580352375867599</v>
      </c>
      <c r="AA66" s="4">
        <v>0.33116058445363533</v>
      </c>
      <c r="AB66" s="4">
        <v>0.32484393959822033</v>
      </c>
      <c r="AC66" s="4">
        <v>0.3356723969340441</v>
      </c>
      <c r="AD66" s="5">
        <v>0.40259412386133386</v>
      </c>
      <c r="AE66" s="5">
        <v>0.39662664417827659</v>
      </c>
      <c r="AF66" s="6">
        <v>3.8269314849936622</v>
      </c>
      <c r="AG66" s="6">
        <v>4.0157291414965623</v>
      </c>
      <c r="AH66" s="6">
        <v>3.757961460111662</v>
      </c>
      <c r="AI66" s="7">
        <v>0.58456725532134246</v>
      </c>
      <c r="AJ66" s="6">
        <v>11.556120095957429</v>
      </c>
      <c r="AK66" s="6">
        <v>12.362025735999179</v>
      </c>
      <c r="AL66" s="6">
        <v>11.195324651165938</v>
      </c>
      <c r="AM66" s="6">
        <v>1.7652078259427815</v>
      </c>
      <c r="AN66" s="6">
        <v>11.717912426440845</v>
      </c>
      <c r="AO66" s="6" t="s">
        <v>289</v>
      </c>
      <c r="AP66" s="6" t="s">
        <v>293</v>
      </c>
      <c r="AQ66" s="6"/>
      <c r="AR66" s="6" t="s">
        <v>348</v>
      </c>
      <c r="AS66" s="119" t="s">
        <v>392</v>
      </c>
    </row>
    <row r="67" spans="1:45" s="122" customFormat="1" ht="12.75" x14ac:dyDescent="0.2">
      <c r="A67" s="119" t="s">
        <v>101</v>
      </c>
      <c r="B67" s="119" t="s">
        <v>232</v>
      </c>
      <c r="C67" s="119">
        <v>81.03</v>
      </c>
      <c r="D67" s="129"/>
      <c r="E67" s="120">
        <v>14291.170427429997</v>
      </c>
      <c r="F67" s="129"/>
      <c r="G67" s="120">
        <v>12373.170427429997</v>
      </c>
      <c r="H67" s="120">
        <v>2763</v>
      </c>
      <c r="I67" s="121">
        <v>3008.2692307692309</v>
      </c>
      <c r="J67" s="121">
        <v>2610</v>
      </c>
      <c r="K67" s="121">
        <v>2866.0804865424434</v>
      </c>
      <c r="L67" s="121">
        <v>3125.6884336677817</v>
      </c>
      <c r="M67" s="121">
        <v>837.93500000000006</v>
      </c>
      <c r="N67" s="121">
        <v>823.26499999999999</v>
      </c>
      <c r="O67" s="121">
        <v>883.35533333333319</v>
      </c>
      <c r="P67" s="121">
        <v>809.5</v>
      </c>
      <c r="Q67" s="3">
        <v>0.12693498452012375</v>
      </c>
      <c r="R67" s="3">
        <v>0.1268352365415987</v>
      </c>
      <c r="S67" s="80">
        <v>8.8769175088393437E-2</v>
      </c>
      <c r="T67" s="80">
        <v>9.8115128943464969E-2</v>
      </c>
      <c r="U67" s="80">
        <v>9.0579433600806558E-2</v>
      </c>
      <c r="V67" s="3">
        <v>0.81667250000000013</v>
      </c>
      <c r="W67" s="3">
        <v>0.81730500000000006</v>
      </c>
      <c r="X67" s="4">
        <v>0.25535100647897041</v>
      </c>
      <c r="Y67" s="4">
        <v>0.26117019785902057</v>
      </c>
      <c r="Z67" s="3">
        <v>0.30691277596815059</v>
      </c>
      <c r="AA67" s="4">
        <v>0.27854388544396858</v>
      </c>
      <c r="AB67" s="4">
        <v>0.28724420122379851</v>
      </c>
      <c r="AC67" s="4">
        <v>0.28261144771130503</v>
      </c>
      <c r="AD67" s="5">
        <v>0.43374801250974926</v>
      </c>
      <c r="AE67" s="5">
        <v>0.36731306053236201</v>
      </c>
      <c r="AF67" s="6">
        <v>4.1130528813294109</v>
      </c>
      <c r="AG67" s="6">
        <v>4.3171050099701258</v>
      </c>
      <c r="AH67" s="6">
        <v>3.9585424747248168</v>
      </c>
      <c r="AI67" s="7">
        <v>0.46334246963923764</v>
      </c>
      <c r="AJ67" s="6">
        <v>14.766265196500918</v>
      </c>
      <c r="AK67" s="6">
        <v>15.02938959803951</v>
      </c>
      <c r="AL67" s="6">
        <v>14.007013894103014</v>
      </c>
      <c r="AM67" s="6">
        <v>1.663445129663214</v>
      </c>
      <c r="AN67" s="6">
        <v>15.284954203125382</v>
      </c>
      <c r="AO67" s="6" t="s">
        <v>291</v>
      </c>
      <c r="AP67" s="6" t="s">
        <v>294</v>
      </c>
      <c r="AQ67" s="6"/>
      <c r="AR67" s="6"/>
      <c r="AS67" s="119" t="s">
        <v>392</v>
      </c>
    </row>
    <row r="68" spans="1:45" s="122" customFormat="1" ht="12.75" x14ac:dyDescent="0.2">
      <c r="A68" s="119" t="s">
        <v>53</v>
      </c>
      <c r="B68" s="119" t="s">
        <v>184</v>
      </c>
      <c r="C68" s="119">
        <v>24.64</v>
      </c>
      <c r="D68" s="129"/>
      <c r="E68" s="120">
        <v>2853.6747008000002</v>
      </c>
      <c r="F68" s="129"/>
      <c r="G68" s="120">
        <v>2807.0697008000002</v>
      </c>
      <c r="H68" s="120">
        <v>573.11900000000003</v>
      </c>
      <c r="I68" s="121">
        <v>606.72023809523807</v>
      </c>
      <c r="J68" s="121">
        <v>540.65700000000004</v>
      </c>
      <c r="K68" s="121">
        <v>585.86090838509313</v>
      </c>
      <c r="L68" s="121">
        <v>632.28134953814288</v>
      </c>
      <c r="M68" s="121">
        <v>105.735</v>
      </c>
      <c r="N68" s="121">
        <v>67.41500000000002</v>
      </c>
      <c r="O68" s="121">
        <v>118.44066666666667</v>
      </c>
      <c r="P68" s="121">
        <v>148.90727272727273</v>
      </c>
      <c r="Q68" s="3">
        <v>0.12395489528182901</v>
      </c>
      <c r="R68" s="3">
        <v>0.13236651024944437</v>
      </c>
      <c r="S68" s="80">
        <v>5.8628728231376215E-2</v>
      </c>
      <c r="T68" s="80">
        <v>8.3609216906639583E-2</v>
      </c>
      <c r="U68" s="80">
        <v>7.9234576823031588E-2</v>
      </c>
      <c r="V68" s="3">
        <v>0.66797266083333329</v>
      </c>
      <c r="W68" s="3">
        <v>0.68334416666666686</v>
      </c>
      <c r="X68" s="4">
        <v>0.20024036135704895</v>
      </c>
      <c r="Y68" s="4">
        <v>0.23313430086957862</v>
      </c>
      <c r="Z68" s="3">
        <v>0.10428549742723588</v>
      </c>
      <c r="AA68" s="4">
        <v>0.17427307243277185</v>
      </c>
      <c r="AB68" s="4">
        <v>0.11506997486114462</v>
      </c>
      <c r="AC68" s="4">
        <v>0.18732272706317055</v>
      </c>
      <c r="AD68" s="5">
        <v>0.23665200767668026</v>
      </c>
      <c r="AE68" s="5">
        <v>0.23290180066414806</v>
      </c>
      <c r="AF68" s="6">
        <v>4.6266294159110757</v>
      </c>
      <c r="AG68" s="6">
        <v>4.791358598302109</v>
      </c>
      <c r="AH68" s="6">
        <v>4.4395895954395241</v>
      </c>
      <c r="AI68" s="7">
        <v>0.78914033366922876</v>
      </c>
      <c r="AJ68" s="6">
        <v>26.548160030264341</v>
      </c>
      <c r="AK68" s="6">
        <v>41.638651647259501</v>
      </c>
      <c r="AL68" s="6">
        <v>23.700218681646508</v>
      </c>
      <c r="AM68" s="6">
        <v>4.528182826257626</v>
      </c>
      <c r="AN68" s="6">
        <v>18.851125599091567</v>
      </c>
      <c r="AO68" s="6" t="s">
        <v>290</v>
      </c>
      <c r="AP68" s="6" t="s">
        <v>293</v>
      </c>
      <c r="AQ68" s="6"/>
      <c r="AR68" s="6"/>
      <c r="AS68" s="119" t="s">
        <v>392</v>
      </c>
    </row>
    <row r="69" spans="1:45" s="122" customFormat="1" ht="12.75" x14ac:dyDescent="0.2">
      <c r="A69" s="119" t="s">
        <v>50</v>
      </c>
      <c r="B69" s="119" t="s">
        <v>181</v>
      </c>
      <c r="C69" s="119">
        <v>54.21</v>
      </c>
      <c r="D69" s="125">
        <v>63.197000000000003</v>
      </c>
      <c r="E69" s="124">
        <v>3425.9093700000003</v>
      </c>
      <c r="F69" s="125">
        <v>-6</v>
      </c>
      <c r="G69" s="124">
        <v>3431.9093700000003</v>
      </c>
      <c r="H69" s="120">
        <v>686.70600000000002</v>
      </c>
      <c r="I69" s="121">
        <v>744.84615384615381</v>
      </c>
      <c r="J69" s="121">
        <v>653.33600000000001</v>
      </c>
      <c r="K69" s="121">
        <v>700</v>
      </c>
      <c r="L69" s="121">
        <v>761.21428571428578</v>
      </c>
      <c r="M69" s="121">
        <v>192.489</v>
      </c>
      <c r="N69" s="121">
        <v>164.03300000000002</v>
      </c>
      <c r="O69" s="121">
        <v>192.268</v>
      </c>
      <c r="P69" s="121">
        <v>213.54285714285712</v>
      </c>
      <c r="Q69" s="3">
        <v>7.4625246369998122E-2</v>
      </c>
      <c r="R69" s="3">
        <v>7.3639084061125154E-2</v>
      </c>
      <c r="S69" s="80">
        <v>8.4665277201821043E-2</v>
      </c>
      <c r="T69" s="80">
        <v>7.1424198268578376E-2</v>
      </c>
      <c r="U69" s="80">
        <v>8.7448979591836729E-2</v>
      </c>
      <c r="V69" s="3">
        <v>0.79697000000000007</v>
      </c>
      <c r="W69" s="3">
        <v>0.80269999999999997</v>
      </c>
      <c r="X69" s="4">
        <v>0.22255142857142857</v>
      </c>
      <c r="Y69" s="4">
        <v>0.23918494885990427</v>
      </c>
      <c r="Z69" s="3">
        <v>0.25989870483147082</v>
      </c>
      <c r="AA69" s="4">
        <v>0.25842786326551692</v>
      </c>
      <c r="AB69" s="4">
        <v>0.23433285714285718</v>
      </c>
      <c r="AC69" s="4">
        <v>0.25258065121516371</v>
      </c>
      <c r="AD69" s="5">
        <v>0.333537788892596</v>
      </c>
      <c r="AE69" s="5">
        <v>0.34309314046733796</v>
      </c>
      <c r="AF69" s="6">
        <v>4.6075412382526082</v>
      </c>
      <c r="AG69" s="6">
        <v>4.9027276714285719</v>
      </c>
      <c r="AH69" s="6">
        <v>4.5084668462043727</v>
      </c>
      <c r="AI69" s="7">
        <v>0.54420671502313422</v>
      </c>
      <c r="AJ69" s="6">
        <v>17.829119430201207</v>
      </c>
      <c r="AK69" s="6">
        <v>20.922066718282295</v>
      </c>
      <c r="AL69" s="6">
        <v>17.84961288409928</v>
      </c>
      <c r="AM69" s="6">
        <v>2.1058360663842164</v>
      </c>
      <c r="AN69" s="6">
        <v>16.071290868343596</v>
      </c>
      <c r="AO69" s="6" t="s">
        <v>289</v>
      </c>
      <c r="AP69" s="6" t="s">
        <v>293</v>
      </c>
      <c r="AQ69" s="6"/>
      <c r="AR69" s="6" t="s">
        <v>354</v>
      </c>
      <c r="AS69" s="119" t="s">
        <v>392</v>
      </c>
    </row>
    <row r="70" spans="1:45" s="122" customFormat="1" ht="12.75" x14ac:dyDescent="0.2">
      <c r="A70" s="119" t="s">
        <v>35</v>
      </c>
      <c r="B70" s="119" t="s">
        <v>166</v>
      </c>
      <c r="C70" s="119">
        <v>68.97</v>
      </c>
      <c r="D70" s="125"/>
      <c r="E70" s="120">
        <v>11037.611398110001</v>
      </c>
      <c r="F70" s="125"/>
      <c r="G70" s="120">
        <v>11636.91139811</v>
      </c>
      <c r="H70" s="120">
        <v>1893.3</v>
      </c>
      <c r="I70" s="121">
        <v>2105.6291666666666</v>
      </c>
      <c r="J70" s="121">
        <v>1760</v>
      </c>
      <c r="K70" s="121">
        <v>1944.75</v>
      </c>
      <c r="L70" s="121">
        <v>2163.75</v>
      </c>
      <c r="M70" s="121">
        <v>315.69600000000003</v>
      </c>
      <c r="N70" s="121">
        <v>250.96299999999999</v>
      </c>
      <c r="O70" s="121">
        <v>327.923</v>
      </c>
      <c r="P70" s="121">
        <v>686.98333333333335</v>
      </c>
      <c r="Q70" s="3">
        <v>9.4545454545454488E-2</v>
      </c>
      <c r="R70" s="3">
        <v>0.11732074358217762</v>
      </c>
      <c r="S70" s="80">
        <v>0.11214766105037066</v>
      </c>
      <c r="T70" s="80">
        <v>0.10497159090909092</v>
      </c>
      <c r="U70" s="80">
        <v>0.11261087543386039</v>
      </c>
      <c r="V70" s="3">
        <v>0.47060000000000002</v>
      </c>
      <c r="W70" s="3">
        <v>0.53158000000000005</v>
      </c>
      <c r="X70" s="4">
        <v>0.26327291425633115</v>
      </c>
      <c r="Y70" s="4">
        <v>0.27458948584633164</v>
      </c>
      <c r="Z70" s="3">
        <v>8.7571964295146063E-2</v>
      </c>
      <c r="AA70" s="4">
        <v>0.14992953412578586</v>
      </c>
      <c r="AB70" s="4">
        <v>0.12904640699318679</v>
      </c>
      <c r="AC70" s="4">
        <v>0.1515530906990179</v>
      </c>
      <c r="AD70" s="5">
        <v>0.20489270787732367</v>
      </c>
      <c r="AE70" s="5">
        <v>0.26207719517615652</v>
      </c>
      <c r="AF70" s="6">
        <v>5.5265720965158875</v>
      </c>
      <c r="AG70" s="6">
        <v>5.9837569857873758</v>
      </c>
      <c r="AH70" s="6">
        <v>5.37812196330907</v>
      </c>
      <c r="AI70" s="7">
        <v>0.49279423616633883</v>
      </c>
      <c r="AJ70" s="6">
        <v>36.861130321923618</v>
      </c>
      <c r="AK70" s="6">
        <v>46.369032080864514</v>
      </c>
      <c r="AL70" s="6">
        <v>35.486719132570755</v>
      </c>
      <c r="AM70" s="6">
        <v>3.2868389743204358</v>
      </c>
      <c r="AN70" s="6">
        <v>16.939146604396029</v>
      </c>
      <c r="AO70" s="6" t="s">
        <v>289</v>
      </c>
      <c r="AP70" s="6" t="s">
        <v>293</v>
      </c>
      <c r="AQ70" s="6"/>
      <c r="AR70" s="6" t="s">
        <v>352</v>
      </c>
      <c r="AS70" s="119" t="s">
        <v>392</v>
      </c>
    </row>
    <row r="71" spans="1:45" s="122" customFormat="1" ht="12.75" x14ac:dyDescent="0.2">
      <c r="A71" s="119" t="s">
        <v>107</v>
      </c>
      <c r="B71" s="119" t="s">
        <v>238</v>
      </c>
      <c r="C71" s="119">
        <v>88.56</v>
      </c>
      <c r="D71" s="125">
        <v>113.2</v>
      </c>
      <c r="E71" s="124">
        <v>10024.992</v>
      </c>
      <c r="F71" s="125">
        <v>827.53100000000086</v>
      </c>
      <c r="G71" s="124">
        <v>9197.4609999999993</v>
      </c>
      <c r="H71" s="120">
        <v>1551.164</v>
      </c>
      <c r="I71" s="121">
        <v>1750.2279202279201</v>
      </c>
      <c r="J71" s="121">
        <v>1483.296</v>
      </c>
      <c r="K71" s="121">
        <v>1636.5382869751022</v>
      </c>
      <c r="L71" s="121">
        <v>1848.0716586151368</v>
      </c>
      <c r="M71" s="121">
        <v>325.00700000000001</v>
      </c>
      <c r="N71" s="121">
        <v>305.73566666666665</v>
      </c>
      <c r="O71" s="121">
        <v>355.44933333333336</v>
      </c>
      <c r="P71" s="121">
        <v>294.72222222222223</v>
      </c>
      <c r="Q71" s="3">
        <v>0.19534856945483847</v>
      </c>
      <c r="R71" s="3">
        <v>0.17424533758065944</v>
      </c>
      <c r="S71" s="80">
        <v>0.12833196246684442</v>
      </c>
      <c r="T71" s="80">
        <v>0.10331200716182209</v>
      </c>
      <c r="U71" s="80">
        <v>0.12925659810319656</v>
      </c>
      <c r="V71" s="3">
        <v>0.7755266666666667</v>
      </c>
      <c r="W71" s="3">
        <v>0.77861000000000002</v>
      </c>
      <c r="X71" s="4">
        <v>0.15952941772145166</v>
      </c>
      <c r="Y71" s="4">
        <v>0.1702273458211436</v>
      </c>
      <c r="Z71" s="3">
        <v>0.20242540440598153</v>
      </c>
      <c r="AA71" s="4">
        <v>0.18569410089040095</v>
      </c>
      <c r="AB71" s="4">
        <v>0.18681852364833676</v>
      </c>
      <c r="AC71" s="4">
        <v>0.19233525479184685</v>
      </c>
      <c r="AD71" s="5">
        <v>0.37667074198664097</v>
      </c>
      <c r="AE71" s="5">
        <v>0.31402606335724537</v>
      </c>
      <c r="AF71" s="6">
        <v>5.25500758712744</v>
      </c>
      <c r="AG71" s="6">
        <v>5.6200707757348827</v>
      </c>
      <c r="AH71" s="6">
        <v>4.9767880791441659</v>
      </c>
      <c r="AI71" s="7">
        <v>0.40948548484054498</v>
      </c>
      <c r="AJ71" s="6">
        <v>28.299270477251255</v>
      </c>
      <c r="AK71" s="6">
        <v>30.083048864651055</v>
      </c>
      <c r="AL71" s="6">
        <v>25.875589394831703</v>
      </c>
      <c r="AM71" s="6">
        <v>2.2051615149704111</v>
      </c>
      <c r="AN71" s="6">
        <v>31.207219227144201</v>
      </c>
      <c r="AO71" s="6" t="s">
        <v>291</v>
      </c>
      <c r="AP71" s="6" t="s">
        <v>294</v>
      </c>
      <c r="AQ71" s="6"/>
      <c r="AR71" s="6" t="s">
        <v>364</v>
      </c>
      <c r="AS71" s="119" t="s">
        <v>393</v>
      </c>
    </row>
    <row r="72" spans="1:45" s="122" customFormat="1" ht="12.75" x14ac:dyDescent="0.2">
      <c r="A72" s="119" t="s">
        <v>72</v>
      </c>
      <c r="B72" s="119" t="s">
        <v>203</v>
      </c>
      <c r="C72" s="119">
        <v>20.010000000000002</v>
      </c>
      <c r="D72" s="125"/>
      <c r="E72" s="120">
        <v>1478.23178652</v>
      </c>
      <c r="F72" s="125"/>
      <c r="G72" s="120">
        <v>1853.9007865200001</v>
      </c>
      <c r="H72" s="120">
        <v>325.89100000000002</v>
      </c>
      <c r="I72" s="121">
        <v>342.15</v>
      </c>
      <c r="J72" s="121">
        <v>316.298</v>
      </c>
      <c r="K72" s="121">
        <v>333</v>
      </c>
      <c r="L72" s="121">
        <v>352</v>
      </c>
      <c r="M72" s="121">
        <v>82.006</v>
      </c>
      <c r="N72" s="121">
        <v>90.01</v>
      </c>
      <c r="O72" s="121">
        <v>101.074</v>
      </c>
      <c r="P72" s="121">
        <v>138.15</v>
      </c>
      <c r="Q72" s="3">
        <v>7.5258020234887368E-2</v>
      </c>
      <c r="R72" s="3">
        <v>5.9604823789906766E-2</v>
      </c>
      <c r="S72" s="80">
        <v>4.9890914446854895E-2</v>
      </c>
      <c r="T72" s="80">
        <v>5.2804633605018081E-2</v>
      </c>
      <c r="U72" s="80">
        <v>5.7057057057056992E-2</v>
      </c>
      <c r="V72" s="3">
        <v>0.67299999999999993</v>
      </c>
      <c r="W72" s="3">
        <v>0.70787999999999995</v>
      </c>
      <c r="X72" s="4">
        <v>0.23633633633633636</v>
      </c>
      <c r="Y72" s="4">
        <v>0.24346590909090909</v>
      </c>
      <c r="Z72" s="3">
        <v>0.2716061505227208</v>
      </c>
      <c r="AA72" s="4">
        <v>0.23967850358030104</v>
      </c>
      <c r="AB72" s="4">
        <v>0.27030030030030033</v>
      </c>
      <c r="AC72" s="4">
        <v>0.28714204545454547</v>
      </c>
      <c r="AD72" s="5">
        <v>0.33121097431262758</v>
      </c>
      <c r="AE72" s="5">
        <v>0.28956941802715597</v>
      </c>
      <c r="AF72" s="6">
        <v>5.4183860485751874</v>
      </c>
      <c r="AG72" s="6">
        <v>5.5672696291891892</v>
      </c>
      <c r="AH72" s="6">
        <v>5.2667635980681817</v>
      </c>
      <c r="AI72" s="7">
        <v>1.0860466497055279</v>
      </c>
      <c r="AJ72" s="6">
        <v>22.606892014242863</v>
      </c>
      <c r="AK72" s="6">
        <v>20.596609115876014</v>
      </c>
      <c r="AL72" s="6">
        <v>18.342014628094269</v>
      </c>
      <c r="AM72" s="6">
        <v>4.5312643123277114</v>
      </c>
      <c r="AN72" s="6">
        <v>13.41947728208469</v>
      </c>
      <c r="AO72" s="6" t="s">
        <v>290</v>
      </c>
      <c r="AP72" s="6" t="s">
        <v>293</v>
      </c>
      <c r="AQ72" s="6"/>
      <c r="AR72" s="6"/>
      <c r="AS72" s="119" t="s">
        <v>392</v>
      </c>
    </row>
    <row r="73" spans="1:45" s="122" customFormat="1" ht="12.75" x14ac:dyDescent="0.2">
      <c r="A73" s="119" t="s">
        <v>114</v>
      </c>
      <c r="B73" s="119" t="s">
        <v>245</v>
      </c>
      <c r="C73" s="119">
        <v>29.63</v>
      </c>
      <c r="D73" s="125">
        <v>168.26399999999998</v>
      </c>
      <c r="E73" s="124">
        <v>4985.6623199999995</v>
      </c>
      <c r="F73" s="125">
        <v>136.98300000000017</v>
      </c>
      <c r="G73" s="124">
        <v>4848.6793199999993</v>
      </c>
      <c r="H73" s="120">
        <v>1125.704</v>
      </c>
      <c r="I73" s="121">
        <v>1217.4444444444443</v>
      </c>
      <c r="J73" s="121">
        <v>1090.1300000000001</v>
      </c>
      <c r="K73" s="121">
        <v>1167.4184396135265</v>
      </c>
      <c r="L73" s="121">
        <v>1251.5211352657004</v>
      </c>
      <c r="M73" s="121">
        <v>340.899</v>
      </c>
      <c r="N73" s="121">
        <v>340.70233333333334</v>
      </c>
      <c r="O73" s="121">
        <v>353.25833333333333</v>
      </c>
      <c r="P73" s="121">
        <v>376.09333333333331</v>
      </c>
      <c r="Q73" s="3">
        <v>8.8727924484981902E-2</v>
      </c>
      <c r="R73" s="3">
        <v>6.2875314414339425E-2</v>
      </c>
      <c r="S73" s="80">
        <v>8.1496063303003519E-2</v>
      </c>
      <c r="T73" s="80">
        <v>7.0898369564663222E-2</v>
      </c>
      <c r="U73" s="80">
        <v>7.2041602906337543E-2</v>
      </c>
      <c r="V73" s="3">
        <v>0.81041416666666677</v>
      </c>
      <c r="W73" s="3">
        <v>0.81342333333333328</v>
      </c>
      <c r="X73" s="4">
        <v>0.27797373731230091</v>
      </c>
      <c r="Y73" s="4">
        <v>0.28966084267502495</v>
      </c>
      <c r="Z73" s="3">
        <v>0.29711185178341731</v>
      </c>
      <c r="AA73" s="4">
        <v>0.28001195582732502</v>
      </c>
      <c r="AB73" s="4">
        <v>0.29184251487934587</v>
      </c>
      <c r="AC73" s="4">
        <v>0.28226317828690595</v>
      </c>
      <c r="AD73" s="5">
        <v>0.35998716619775672</v>
      </c>
      <c r="AE73" s="5">
        <v>0.36150801913032854</v>
      </c>
      <c r="AF73" s="6">
        <v>3.9826698804417267</v>
      </c>
      <c r="AG73" s="6">
        <v>4.1533345332502654</v>
      </c>
      <c r="AH73" s="6">
        <v>3.874228875064595</v>
      </c>
      <c r="AI73" s="7">
        <v>0.48869475641223353</v>
      </c>
      <c r="AJ73" s="6">
        <v>14.2232136791249</v>
      </c>
      <c r="AK73" s="6">
        <v>14.231423872451707</v>
      </c>
      <c r="AL73" s="6">
        <v>13.725590771626051</v>
      </c>
      <c r="AM73" s="6">
        <v>1.7452638940659981</v>
      </c>
      <c r="AN73" s="6">
        <v>12.892223526075087</v>
      </c>
      <c r="AO73" s="6" t="s">
        <v>291</v>
      </c>
      <c r="AP73" s="6" t="s">
        <v>294</v>
      </c>
      <c r="AQ73" s="6"/>
      <c r="AR73" s="6" t="s">
        <v>337</v>
      </c>
      <c r="AS73" s="119" t="s">
        <v>392</v>
      </c>
    </row>
    <row r="74" spans="1:45" s="122" customFormat="1" ht="12.75" x14ac:dyDescent="0.2">
      <c r="A74" s="119" t="s">
        <v>111</v>
      </c>
      <c r="B74" s="119" t="s">
        <v>242</v>
      </c>
      <c r="C74" s="119">
        <v>24.79</v>
      </c>
      <c r="D74" s="125">
        <v>317.6083694167105</v>
      </c>
      <c r="E74" s="124">
        <v>7873.5114778402531</v>
      </c>
      <c r="F74" s="125">
        <v>-553.28800000000047</v>
      </c>
      <c r="G74" s="124">
        <v>8426.7994778402535</v>
      </c>
      <c r="H74" s="120">
        <v>1678.7070000000001</v>
      </c>
      <c r="I74" s="121">
        <v>1782.75</v>
      </c>
      <c r="J74" s="121">
        <v>1640.018</v>
      </c>
      <c r="K74" s="121">
        <v>1706.75</v>
      </c>
      <c r="L74" s="121">
        <v>1806.5</v>
      </c>
      <c r="M74" s="121">
        <v>483.80900000000003</v>
      </c>
      <c r="N74" s="121">
        <v>516.23400000000004</v>
      </c>
      <c r="O74" s="121">
        <v>545.91399999999999</v>
      </c>
      <c r="P74" s="121">
        <v>601.25</v>
      </c>
      <c r="Q74" s="3">
        <v>3.9481065420693406E-2</v>
      </c>
      <c r="R74" s="3">
        <v>1.3166828717157636E-2</v>
      </c>
      <c r="S74" s="80">
        <v>6.1978058112583057E-2</v>
      </c>
      <c r="T74" s="80">
        <v>4.068979730710276E-2</v>
      </c>
      <c r="U74" s="80">
        <v>5.8444411893950443E-2</v>
      </c>
      <c r="V74" s="3">
        <v>0.81616</v>
      </c>
      <c r="W74" s="3">
        <v>0.81710000000000005</v>
      </c>
      <c r="X74" s="4">
        <v>0.33191738684634542</v>
      </c>
      <c r="Y74" s="4">
        <v>0.33462496540271242</v>
      </c>
      <c r="Z74" s="3">
        <v>0.27772386723829706</v>
      </c>
      <c r="AA74" s="4">
        <v>0.27138353667087367</v>
      </c>
      <c r="AB74" s="4">
        <v>0.30246609052292373</v>
      </c>
      <c r="AC74" s="4">
        <v>0.30219429836700801</v>
      </c>
      <c r="AD74" s="5">
        <v>0.29089069595545469</v>
      </c>
      <c r="AE74" s="5">
        <v>0.33336159478345673</v>
      </c>
      <c r="AF74" s="6">
        <v>4.7268542857048121</v>
      </c>
      <c r="AG74" s="6">
        <v>4.9373367381516058</v>
      </c>
      <c r="AH74" s="6">
        <v>4.6647104776309183</v>
      </c>
      <c r="AI74" s="7">
        <v>0.76266576102118078</v>
      </c>
      <c r="AJ74" s="6">
        <v>17.417616203584995</v>
      </c>
      <c r="AK74" s="6">
        <v>16.323604175316333</v>
      </c>
      <c r="AL74" s="6">
        <v>15.436130009196052</v>
      </c>
      <c r="AM74" s="6">
        <v>2.8102875007709858</v>
      </c>
      <c r="AN74" s="6">
        <v>14.015466907010817</v>
      </c>
      <c r="AO74" s="6" t="s">
        <v>291</v>
      </c>
      <c r="AP74" s="6" t="s">
        <v>294</v>
      </c>
      <c r="AQ74" s="6"/>
      <c r="AR74" s="6" t="s">
        <v>338</v>
      </c>
      <c r="AS74" s="119" t="s">
        <v>393</v>
      </c>
    </row>
    <row r="75" spans="1:45" s="122" customFormat="1" ht="12.75" x14ac:dyDescent="0.2">
      <c r="A75" s="119" t="s">
        <v>44</v>
      </c>
      <c r="B75" s="119" t="s">
        <v>175</v>
      </c>
      <c r="C75" s="119">
        <v>11.88</v>
      </c>
      <c r="D75" s="125">
        <v>320</v>
      </c>
      <c r="E75" s="124">
        <v>3801.6000000000004</v>
      </c>
      <c r="F75" s="125">
        <v>926.2</v>
      </c>
      <c r="G75" s="124">
        <v>2875.4000000000005</v>
      </c>
      <c r="H75" s="120">
        <v>810.64</v>
      </c>
      <c r="I75" s="121">
        <v>914.60439560439568</v>
      </c>
      <c r="J75" s="121">
        <v>720.42</v>
      </c>
      <c r="K75" s="121">
        <v>835</v>
      </c>
      <c r="L75" s="121">
        <v>946.33333333333337</v>
      </c>
      <c r="M75" s="121">
        <v>223.548</v>
      </c>
      <c r="N75" s="121">
        <v>220.62700000000001</v>
      </c>
      <c r="O75" s="121">
        <v>245.23600000000002</v>
      </c>
      <c r="P75" s="121">
        <v>181.47666666666666</v>
      </c>
      <c r="Q75" s="3">
        <v>0.15298405466970388</v>
      </c>
      <c r="R75" s="3">
        <v>0.18175986938013872</v>
      </c>
      <c r="S75" s="80">
        <v>0.12824977253083447</v>
      </c>
      <c r="T75" s="80">
        <v>0.159046111990228</v>
      </c>
      <c r="U75" s="80">
        <v>0.1333333333333333</v>
      </c>
      <c r="V75" s="3">
        <v>0.86002000000000001</v>
      </c>
      <c r="W75" s="3">
        <v>0.85784000000000005</v>
      </c>
      <c r="X75" s="4">
        <v>0.20128982035928145</v>
      </c>
      <c r="Y75" s="4">
        <v>0.19881261007396969</v>
      </c>
      <c r="Z75" s="3">
        <v>0.26258635152472121</v>
      </c>
      <c r="AA75" s="4">
        <v>0.24442043037883429</v>
      </c>
      <c r="AB75" s="4">
        <v>0.2642239520958084</v>
      </c>
      <c r="AC75" s="4">
        <v>0.25914336033814722</v>
      </c>
      <c r="AD75" s="5">
        <v>0.44434622090485992</v>
      </c>
      <c r="AE75" s="5">
        <v>0.37267020290966879</v>
      </c>
      <c r="AF75" s="6">
        <v>3.1438729289069918</v>
      </c>
      <c r="AG75" s="6">
        <v>3.4435928143712582</v>
      </c>
      <c r="AH75" s="6">
        <v>3.0384642479746393</v>
      </c>
      <c r="AI75" s="7">
        <v>0.24513672553696933</v>
      </c>
      <c r="AJ75" s="6">
        <v>12.86256195537424</v>
      </c>
      <c r="AK75" s="6">
        <v>13.032856359375781</v>
      </c>
      <c r="AL75" s="6">
        <v>11.725032213867459</v>
      </c>
      <c r="AM75" s="6">
        <v>1.0029305862731068</v>
      </c>
      <c r="AN75" s="6">
        <v>15.84446117958232</v>
      </c>
      <c r="AO75" s="6" t="s">
        <v>289</v>
      </c>
      <c r="AP75" s="6" t="s">
        <v>293</v>
      </c>
      <c r="AQ75" s="6"/>
      <c r="AR75" s="6" t="s">
        <v>359</v>
      </c>
      <c r="AS75" s="119" t="s">
        <v>392</v>
      </c>
    </row>
    <row r="76" spans="1:45" s="122" customFormat="1" ht="12.75" x14ac:dyDescent="0.2">
      <c r="A76" s="119" t="s">
        <v>99</v>
      </c>
      <c r="B76" s="119" t="s">
        <v>230</v>
      </c>
      <c r="C76" s="119">
        <v>82.17</v>
      </c>
      <c r="D76" s="125">
        <v>353.4</v>
      </c>
      <c r="E76" s="124">
        <v>29038.877999999997</v>
      </c>
      <c r="F76" s="125">
        <v>1479.0839999999989</v>
      </c>
      <c r="G76" s="124">
        <v>27559.793999999998</v>
      </c>
      <c r="H76" s="120">
        <v>3350.4009999999998</v>
      </c>
      <c r="I76" s="121">
        <v>3881.7222222222222</v>
      </c>
      <c r="J76" s="121">
        <v>3168.1640000000002</v>
      </c>
      <c r="K76" s="121">
        <v>3565.5163943833941</v>
      </c>
      <c r="L76" s="121">
        <v>4116.0874542124548</v>
      </c>
      <c r="M76" s="121">
        <v>718.31799999999998</v>
      </c>
      <c r="N76" s="121">
        <v>651.28166666666675</v>
      </c>
      <c r="O76" s="121">
        <v>794.58100000000002</v>
      </c>
      <c r="P76" s="121">
        <v>889.78181818181827</v>
      </c>
      <c r="Q76" s="3">
        <v>0.12730386464005572</v>
      </c>
      <c r="R76" s="3">
        <v>0.11312960294601843</v>
      </c>
      <c r="S76" s="80">
        <v>0.15858436713164248</v>
      </c>
      <c r="T76" s="80">
        <v>0.12542039944377681</v>
      </c>
      <c r="U76" s="80">
        <v>0.15441551767826733</v>
      </c>
      <c r="V76" s="3">
        <v>0.71751416666666656</v>
      </c>
      <c r="W76" s="3">
        <v>0.72443666666666662</v>
      </c>
      <c r="X76" s="4">
        <v>0.16731947559492388</v>
      </c>
      <c r="Y76" s="4">
        <v>0.19634179520965209</v>
      </c>
      <c r="Z76" s="3">
        <v>0.16396455230284379</v>
      </c>
      <c r="AA76" s="4">
        <v>0.18505136608893533</v>
      </c>
      <c r="AB76" s="4">
        <v>0.18266124584158497</v>
      </c>
      <c r="AC76" s="4">
        <v>0.19304278853133114</v>
      </c>
      <c r="AD76" s="5">
        <v>0.27709415524886222</v>
      </c>
      <c r="AE76" s="5">
        <v>0.34363573322057783</v>
      </c>
      <c r="AF76" s="6">
        <v>7.099888251205793</v>
      </c>
      <c r="AG76" s="6">
        <v>7.7295378709837843</v>
      </c>
      <c r="AH76" s="6">
        <v>6.6956288724611435</v>
      </c>
      <c r="AI76" s="7">
        <v>0.44770417031787907</v>
      </c>
      <c r="AJ76" s="6">
        <v>38.367121525563888</v>
      </c>
      <c r="AK76" s="6">
        <v>42.316244123766204</v>
      </c>
      <c r="AL76" s="6">
        <v>34.684687904694421</v>
      </c>
      <c r="AM76" s="6">
        <v>2.4193507985383547</v>
      </c>
      <c r="AN76" s="6">
        <v>30.973653806857651</v>
      </c>
      <c r="AO76" s="6" t="s">
        <v>291</v>
      </c>
      <c r="AP76" s="6" t="s">
        <v>294</v>
      </c>
      <c r="AQ76" s="6"/>
      <c r="AR76" s="6"/>
      <c r="AS76" s="119" t="s">
        <v>393</v>
      </c>
    </row>
    <row r="77" spans="1:45" s="122" customFormat="1" ht="12.75" x14ac:dyDescent="0.2">
      <c r="A77" s="119" t="s">
        <v>87</v>
      </c>
      <c r="B77" s="119" t="s">
        <v>218</v>
      </c>
      <c r="C77" s="119">
        <v>289.95</v>
      </c>
      <c r="D77" s="129"/>
      <c r="E77" s="120">
        <v>271026.47297970002</v>
      </c>
      <c r="F77" s="129"/>
      <c r="G77" s="120">
        <v>322825.47297970002</v>
      </c>
      <c r="H77" s="120">
        <v>65402</v>
      </c>
      <c r="I77" s="121">
        <v>69453.917082917091</v>
      </c>
      <c r="J77" s="121">
        <v>62753</v>
      </c>
      <c r="K77" s="121">
        <v>67057.444444444438</v>
      </c>
      <c r="L77" s="121">
        <v>70110.5</v>
      </c>
      <c r="M77" s="121">
        <v>14894.124</v>
      </c>
      <c r="N77" s="121">
        <v>14020.239</v>
      </c>
      <c r="O77" s="121">
        <v>14814.532000000001</v>
      </c>
      <c r="P77" s="121">
        <v>19358.474999999999</v>
      </c>
      <c r="Q77" s="3">
        <v>9.1060929983965755E-2</v>
      </c>
      <c r="R77" s="3">
        <v>4.5060880125275642E-2</v>
      </c>
      <c r="S77" s="80">
        <v>6.1954024080564718E-2</v>
      </c>
      <c r="T77" s="80">
        <v>6.8593444846372975E-2</v>
      </c>
      <c r="U77" s="80">
        <v>4.5528957759267907E-2</v>
      </c>
      <c r="V77" s="3">
        <v>0.59292</v>
      </c>
      <c r="W77" s="3">
        <v>0.59807999999999995</v>
      </c>
      <c r="X77" s="4">
        <v>0.19754297393445425</v>
      </c>
      <c r="Y77" s="4">
        <v>0.19927590018613475</v>
      </c>
      <c r="Z77" s="3">
        <v>0.19068224213326807</v>
      </c>
      <c r="AA77" s="4">
        <v>0.2144461338619498</v>
      </c>
      <c r="AB77" s="4">
        <v>0.20907803922673265</v>
      </c>
      <c r="AC77" s="4">
        <v>0.2113026151575014</v>
      </c>
      <c r="AD77" s="5">
        <v>0.23574312225854371</v>
      </c>
      <c r="AE77" s="5">
        <v>0.27640015794251449</v>
      </c>
      <c r="AF77" s="6">
        <v>4.6480527886468517</v>
      </c>
      <c r="AG77" s="6">
        <v>4.8141630754681319</v>
      </c>
      <c r="AH77" s="6">
        <v>4.6045239012658588</v>
      </c>
      <c r="AI77" s="7">
        <v>0.75024227362576901</v>
      </c>
      <c r="AJ77" s="6">
        <v>21.674686808012343</v>
      </c>
      <c r="AK77" s="6">
        <v>23.025675452444144</v>
      </c>
      <c r="AL77" s="6">
        <v>21.791135418904897</v>
      </c>
      <c r="AM77" s="6">
        <v>3.498511538141039</v>
      </c>
      <c r="AN77" s="6">
        <v>16.676183066057632</v>
      </c>
      <c r="AO77" s="6" t="s">
        <v>291</v>
      </c>
      <c r="AP77" s="6" t="s">
        <v>294</v>
      </c>
      <c r="AQ77" s="6"/>
      <c r="AR77" s="6"/>
      <c r="AS77" s="119" t="s">
        <v>393</v>
      </c>
    </row>
    <row r="78" spans="1:45" s="122" customFormat="1" ht="12.75" x14ac:dyDescent="0.2">
      <c r="A78" s="119" t="s">
        <v>115</v>
      </c>
      <c r="B78" s="119" t="s">
        <v>246</v>
      </c>
      <c r="C78" s="119">
        <v>16.170000000000002</v>
      </c>
      <c r="D78" s="129"/>
      <c r="E78" s="120">
        <v>5480.1101170199991</v>
      </c>
      <c r="F78" s="129"/>
      <c r="G78" s="120">
        <v>4669.2871170199996</v>
      </c>
      <c r="H78" s="120">
        <v>907.38099999999997</v>
      </c>
      <c r="I78" s="121">
        <v>1101.9133545310015</v>
      </c>
      <c r="J78" s="121">
        <v>821.46100000000001</v>
      </c>
      <c r="K78" s="121">
        <v>984.69836515863676</v>
      </c>
      <c r="L78" s="121">
        <v>1189.096582990878</v>
      </c>
      <c r="M78" s="121">
        <v>89.513999999999996</v>
      </c>
      <c r="N78" s="121">
        <v>65.021000000000001</v>
      </c>
      <c r="O78" s="121">
        <v>118.48400000000001</v>
      </c>
      <c r="P78" s="121">
        <v>96.646794871794867</v>
      </c>
      <c r="Q78" s="3">
        <v>0.2173854034191729</v>
      </c>
      <c r="R78" s="3">
        <v>0.2539260286996704</v>
      </c>
      <c r="S78" s="80">
        <v>0.21438883394186292</v>
      </c>
      <c r="T78" s="80">
        <v>0.19871590393048089</v>
      </c>
      <c r="U78" s="80">
        <v>0.20757444621055332</v>
      </c>
      <c r="V78" s="3">
        <v>0.78900083333333337</v>
      </c>
      <c r="W78" s="3">
        <v>0.79043166666666664</v>
      </c>
      <c r="X78" s="4">
        <v>2.5452584599058005E-2</v>
      </c>
      <c r="Y78" s="4">
        <v>7.4083477106407239E-2</v>
      </c>
      <c r="Z78" s="3">
        <v>-1.1529886563637549E-2</v>
      </c>
      <c r="AA78" s="4">
        <v>8.1235062295890878E-2</v>
      </c>
      <c r="AB78" s="4">
        <v>6.6031388190154042E-2</v>
      </c>
      <c r="AC78" s="4">
        <v>9.9642032190507893E-2</v>
      </c>
      <c r="AD78" s="5">
        <v>0.24239614213603286</v>
      </c>
      <c r="AE78" s="5">
        <v>0.29562389623775381</v>
      </c>
      <c r="AF78" s="6">
        <v>4.2374358181795069</v>
      </c>
      <c r="AG78" s="6">
        <v>4.7418450992023011</v>
      </c>
      <c r="AH78" s="6">
        <v>3.9267517742550098</v>
      </c>
      <c r="AI78" s="7">
        <v>0.19765188980544562</v>
      </c>
      <c r="AJ78" s="6">
        <v>52.162646256674932</v>
      </c>
      <c r="AK78" s="6">
        <v>71.811985620338035</v>
      </c>
      <c r="AL78" s="6">
        <v>39.408587801053301</v>
      </c>
      <c r="AM78" s="6">
        <v>2.4330859633678581</v>
      </c>
      <c r="AN78" s="6">
        <v>48.312901873403682</v>
      </c>
      <c r="AO78" s="6" t="s">
        <v>291</v>
      </c>
      <c r="AP78" s="6" t="s">
        <v>294</v>
      </c>
      <c r="AQ78" s="6"/>
      <c r="AR78" s="6" t="s">
        <v>335</v>
      </c>
      <c r="AS78" s="119" t="s">
        <v>393</v>
      </c>
    </row>
    <row r="79" spans="1:45" s="122" customFormat="1" ht="12.75" x14ac:dyDescent="0.2">
      <c r="A79" s="119" t="s">
        <v>27</v>
      </c>
      <c r="B79" s="119" t="s">
        <v>158</v>
      </c>
      <c r="C79" s="119">
        <v>65.569999999999993</v>
      </c>
      <c r="D79" s="129"/>
      <c r="E79" s="120">
        <v>13186.396951689998</v>
      </c>
      <c r="F79" s="129"/>
      <c r="G79" s="120">
        <v>12468.883951689997</v>
      </c>
      <c r="H79" s="120">
        <v>3095.3620000000001</v>
      </c>
      <c r="I79" s="121">
        <v>3296.3161764705883</v>
      </c>
      <c r="J79" s="121">
        <v>2976.739</v>
      </c>
      <c r="K79" s="121">
        <v>3180.7991457800513</v>
      </c>
      <c r="L79" s="121">
        <v>3388.2477408354648</v>
      </c>
      <c r="M79" s="121">
        <v>937.65899999999999</v>
      </c>
      <c r="N79" s="121">
        <v>906.82633333333331</v>
      </c>
      <c r="O79" s="121">
        <v>963.654</v>
      </c>
      <c r="P79" s="121">
        <v>1081.2083333333333</v>
      </c>
      <c r="Q79" s="3">
        <v>8.7780747173676898E-2</v>
      </c>
      <c r="R79" s="3">
        <v>8.2872189846750363E-2</v>
      </c>
      <c r="S79" s="80">
        <v>6.4921058173676771E-2</v>
      </c>
      <c r="T79" s="80">
        <v>6.8551574652682357E-2</v>
      </c>
      <c r="U79" s="80">
        <v>6.5219017469441365E-2</v>
      </c>
      <c r="V79" s="3">
        <v>0.81678416666666676</v>
      </c>
      <c r="W79" s="3">
        <v>0.81743750000000004</v>
      </c>
      <c r="X79" s="4">
        <v>0.2918240429918843</v>
      </c>
      <c r="Y79" s="4">
        <v>0.2971239837434172</v>
      </c>
      <c r="Z79" s="3">
        <v>0.30230583692634327</v>
      </c>
      <c r="AA79" s="4">
        <v>0.28445663273841787</v>
      </c>
      <c r="AB79" s="4">
        <v>0.28509386848157792</v>
      </c>
      <c r="AC79" s="4">
        <v>0.28441072604755424</v>
      </c>
      <c r="AD79" s="5">
        <v>0.38517802677309365</v>
      </c>
      <c r="AE79" s="5">
        <v>0.34937769091209464</v>
      </c>
      <c r="AF79" s="6">
        <v>3.7826723178723118</v>
      </c>
      <c r="AG79" s="6">
        <v>3.9200475667356729</v>
      </c>
      <c r="AH79" s="6">
        <v>3.6800390365243643</v>
      </c>
      <c r="AI79" s="7">
        <v>0.58265721851805152</v>
      </c>
      <c r="AJ79" s="6">
        <v>13.297887560072475</v>
      </c>
      <c r="AK79" s="6">
        <v>13.750024115264258</v>
      </c>
      <c r="AL79" s="6">
        <v>12.939171063151294</v>
      </c>
      <c r="AM79" s="6">
        <v>2.0483165145734339</v>
      </c>
      <c r="AN79" s="6">
        <v>11.532360200414658</v>
      </c>
      <c r="AO79" s="6" t="s">
        <v>289</v>
      </c>
      <c r="AP79" s="6" t="s">
        <v>293</v>
      </c>
      <c r="AQ79" s="6"/>
      <c r="AR79" s="6" t="s">
        <v>337</v>
      </c>
      <c r="AS79" s="119" t="s">
        <v>392</v>
      </c>
    </row>
    <row r="80" spans="1:45" s="122" customFormat="1" ht="12.75" x14ac:dyDescent="0.2">
      <c r="A80" s="119" t="s">
        <v>122</v>
      </c>
      <c r="B80" s="119" t="s">
        <v>253</v>
      </c>
      <c r="C80" s="119">
        <v>39.9</v>
      </c>
      <c r="D80" s="125">
        <v>44.155999999999999</v>
      </c>
      <c r="E80" s="124">
        <v>1761.8244</v>
      </c>
      <c r="F80" s="125">
        <v>-1356</v>
      </c>
      <c r="G80" s="124">
        <v>3117.8244</v>
      </c>
      <c r="H80" s="120">
        <v>940.12599999999998</v>
      </c>
      <c r="I80" s="121">
        <v>989</v>
      </c>
      <c r="J80" s="121">
        <v>753.40899999999999</v>
      </c>
      <c r="K80" s="121">
        <v>979.88761111111114</v>
      </c>
      <c r="L80" s="121">
        <v>993.93554033485543</v>
      </c>
      <c r="M80" s="121">
        <v>270.97399999999999</v>
      </c>
      <c r="N80" s="121">
        <v>224.64666666666665</v>
      </c>
      <c r="O80" s="121" t="s">
        <v>398</v>
      </c>
      <c r="P80" s="121">
        <v>379.7</v>
      </c>
      <c r="Q80" s="3">
        <v>0.39795507202578806</v>
      </c>
      <c r="R80" s="3">
        <v>0.31409329930194629</v>
      </c>
      <c r="S80" s="80">
        <v>5.1986648598166596E-2</v>
      </c>
      <c r="T80" s="80">
        <v>0.3006051309595601</v>
      </c>
      <c r="U80" s="80">
        <v>1.433626577625069E-2</v>
      </c>
      <c r="V80" s="3">
        <v>0.85267916666666665</v>
      </c>
      <c r="W80" s="3" t="e">
        <v>#VALUE!</v>
      </c>
      <c r="X80" s="4">
        <v>0.38577281283448778</v>
      </c>
      <c r="Y80" s="4">
        <v>0.38739936784057166</v>
      </c>
      <c r="Z80" s="3">
        <v>0.19818832794753041</v>
      </c>
      <c r="AA80" s="4">
        <v>0.27398786653185037</v>
      </c>
      <c r="AB80" s="4">
        <v>0.22925758435902255</v>
      </c>
      <c r="AC80" s="4" t="e">
        <v>#VALUE!</v>
      </c>
      <c r="AD80" s="5">
        <v>0.51228162724947668</v>
      </c>
      <c r="AE80" s="5">
        <v>0.32597451513001696</v>
      </c>
      <c r="AF80" s="6">
        <v>3.152501921132457</v>
      </c>
      <c r="AG80" s="6">
        <v>3.1818183683990515</v>
      </c>
      <c r="AH80" s="6">
        <v>3.1368476862690811</v>
      </c>
      <c r="AI80" s="7">
        <v>0.60640606889278026</v>
      </c>
      <c r="AJ80" s="6">
        <v>11.505990980684494</v>
      </c>
      <c r="AK80" s="6">
        <v>13.878792177345165</v>
      </c>
      <c r="AL80" s="6" t="e">
        <v>#VALUE!</v>
      </c>
      <c r="AM80" s="6">
        <v>2.2132588445199897</v>
      </c>
      <c r="AN80" s="6">
        <v>8.2112836449828812</v>
      </c>
      <c r="AO80" s="6" t="s">
        <v>291</v>
      </c>
      <c r="AP80" s="6" t="s">
        <v>294</v>
      </c>
      <c r="AQ80" s="6"/>
      <c r="AR80" s="6"/>
      <c r="AS80" s="119" t="s">
        <v>393</v>
      </c>
    </row>
    <row r="81" spans="1:45" s="122" customFormat="1" ht="12.75" x14ac:dyDescent="0.2">
      <c r="A81" s="119" t="s">
        <v>123</v>
      </c>
      <c r="B81" s="119" t="s">
        <v>254</v>
      </c>
      <c r="C81" s="119">
        <v>44.01</v>
      </c>
      <c r="D81" s="125">
        <v>98.501659883047338</v>
      </c>
      <c r="E81" s="124">
        <v>4335.0580514529129</v>
      </c>
      <c r="F81" s="125">
        <v>-1126.8430000000003</v>
      </c>
      <c r="G81" s="124">
        <v>5461.9010514529127</v>
      </c>
      <c r="H81" s="120">
        <v>863.96199999999999</v>
      </c>
      <c r="I81" s="121">
        <v>1016.9230769230769</v>
      </c>
      <c r="J81" s="121">
        <v>780.61500000000001</v>
      </c>
      <c r="K81" s="121">
        <v>896.92857142857144</v>
      </c>
      <c r="L81" s="121">
        <v>1063.9285714285716</v>
      </c>
      <c r="M81" s="121">
        <v>161.40899999999999</v>
      </c>
      <c r="N81" s="121">
        <v>165.518</v>
      </c>
      <c r="O81" s="121">
        <v>185.511</v>
      </c>
      <c r="P81" s="121">
        <v>399.63846153846151</v>
      </c>
      <c r="Q81" s="3">
        <v>0.15693960218455882</v>
      </c>
      <c r="R81" s="3">
        <v>0.14195494366636519</v>
      </c>
      <c r="S81" s="80">
        <v>0.17704607022424246</v>
      </c>
      <c r="T81" s="80">
        <v>0.14900248064483956</v>
      </c>
      <c r="U81" s="80">
        <v>0.18619096918053679</v>
      </c>
      <c r="V81" s="3">
        <v>0.61704000000000003</v>
      </c>
      <c r="W81" s="3">
        <v>0.60697999999999996</v>
      </c>
      <c r="X81" s="4">
        <v>0.28142374771044038</v>
      </c>
      <c r="Y81" s="4">
        <v>0.26427244041624703</v>
      </c>
      <c r="Z81" s="3">
        <v>0.2030772186739695</v>
      </c>
      <c r="AA81" s="4">
        <v>0.15872291981845688</v>
      </c>
      <c r="AB81" s="4">
        <v>0.18453866369355737</v>
      </c>
      <c r="AC81" s="4">
        <v>0.17436414904330311</v>
      </c>
      <c r="AD81" s="5">
        <v>0.34503216234033468</v>
      </c>
      <c r="AE81" s="5">
        <v>0.33576899004269933</v>
      </c>
      <c r="AF81" s="6">
        <v>5.3710070853924252</v>
      </c>
      <c r="AG81" s="6">
        <v>6.0895607804683269</v>
      </c>
      <c r="AH81" s="6">
        <v>5.1337102866962585</v>
      </c>
      <c r="AI81" s="7">
        <v>0.3033677662875901</v>
      </c>
      <c r="AJ81" s="6">
        <v>33.838887865316764</v>
      </c>
      <c r="AK81" s="6">
        <v>32.998834274537586</v>
      </c>
      <c r="AL81" s="6">
        <v>29.442464605618603</v>
      </c>
      <c r="AM81" s="6">
        <v>1.911304092909671</v>
      </c>
      <c r="AN81" s="6">
        <v>13.66710558945352</v>
      </c>
      <c r="AO81" s="6" t="s">
        <v>291</v>
      </c>
      <c r="AP81" s="6" t="s">
        <v>294</v>
      </c>
      <c r="AQ81" s="6"/>
      <c r="AR81" s="6" t="s">
        <v>400</v>
      </c>
      <c r="AS81" s="119" t="s">
        <v>392</v>
      </c>
    </row>
    <row r="82" spans="1:45" s="122" customFormat="1" ht="12.75" x14ac:dyDescent="0.2">
      <c r="A82" s="119" t="s">
        <v>24</v>
      </c>
      <c r="B82" s="119" t="s">
        <v>155</v>
      </c>
      <c r="C82" s="119">
        <v>81.34</v>
      </c>
      <c r="D82" s="129"/>
      <c r="E82" s="120">
        <v>19849.188960020001</v>
      </c>
      <c r="F82" s="129"/>
      <c r="G82" s="120">
        <v>26319.98896002</v>
      </c>
      <c r="H82" s="120">
        <v>6148.4</v>
      </c>
      <c r="I82" s="121">
        <v>6554.9821428571422</v>
      </c>
      <c r="J82" s="121">
        <v>5882</v>
      </c>
      <c r="K82" s="121">
        <v>6244.5</v>
      </c>
      <c r="L82" s="121">
        <v>6610.1</v>
      </c>
      <c r="M82" s="121">
        <v>1339.3389999999999</v>
      </c>
      <c r="N82" s="121">
        <v>1281.883</v>
      </c>
      <c r="O82" s="121">
        <v>1482.9159999999999</v>
      </c>
      <c r="P82" s="121">
        <v>2625.2142857142858</v>
      </c>
      <c r="Q82" s="3">
        <v>6.9723018147086924E-2</v>
      </c>
      <c r="R82" s="3">
        <v>6.670830514061675E-2</v>
      </c>
      <c r="S82" s="80">
        <v>6.61281216019034E-2</v>
      </c>
      <c r="T82" s="80">
        <v>6.1628697721863412E-2</v>
      </c>
      <c r="U82" s="80">
        <v>5.8547521819200865E-2</v>
      </c>
      <c r="V82" s="3">
        <v>0.55155999999999994</v>
      </c>
      <c r="W82" s="3">
        <v>0.55579999999999996</v>
      </c>
      <c r="X82" s="4">
        <v>0.38203619184882698</v>
      </c>
      <c r="Y82" s="4">
        <v>0.39179104703408424</v>
      </c>
      <c r="Z82" s="3">
        <v>0.21107930518508877</v>
      </c>
      <c r="AA82" s="4">
        <v>0.20432382130277135</v>
      </c>
      <c r="AB82" s="4">
        <v>0.20528192809672513</v>
      </c>
      <c r="AC82" s="4">
        <v>0.2243409328149347</v>
      </c>
      <c r="AD82" s="5">
        <v>0.27778761032570554</v>
      </c>
      <c r="AE82" s="5">
        <v>0.27045194290467478</v>
      </c>
      <c r="AF82" s="6">
        <v>4.0152647843137856</v>
      </c>
      <c r="AG82" s="6">
        <v>4.2149073520730242</v>
      </c>
      <c r="AH82" s="6">
        <v>3.9817837793709625</v>
      </c>
      <c r="AI82" s="7">
        <v>0.60719474363509096</v>
      </c>
      <c r="AJ82" s="6">
        <v>19.65147655673433</v>
      </c>
      <c r="AK82" s="6">
        <v>20.53228645673591</v>
      </c>
      <c r="AL82" s="6">
        <v>17.74880637879691</v>
      </c>
      <c r="AM82" s="6">
        <v>2.971727622181346</v>
      </c>
      <c r="AN82" s="6">
        <v>10.025844024713084</v>
      </c>
      <c r="AO82" s="6" t="s">
        <v>290</v>
      </c>
      <c r="AP82" s="6" t="s">
        <v>293</v>
      </c>
      <c r="AQ82" s="6"/>
      <c r="AR82" s="6"/>
      <c r="AS82" s="119" t="s">
        <v>393</v>
      </c>
    </row>
    <row r="83" spans="1:45" s="122" customFormat="1" ht="12.75" x14ac:dyDescent="0.2">
      <c r="A83" s="119" t="s">
        <v>36</v>
      </c>
      <c r="B83" s="119" t="s">
        <v>167</v>
      </c>
      <c r="C83" s="119">
        <v>126.92</v>
      </c>
      <c r="D83" s="129"/>
      <c r="E83" s="120">
        <v>7065.4046440800003</v>
      </c>
      <c r="F83" s="129"/>
      <c r="G83" s="120">
        <v>7046.8796440800006</v>
      </c>
      <c r="H83" s="120">
        <v>1929.23</v>
      </c>
      <c r="I83" s="121">
        <v>2199.6144773698948</v>
      </c>
      <c r="J83" s="121">
        <v>1760.65</v>
      </c>
      <c r="K83" s="121">
        <v>1992.5652173913043</v>
      </c>
      <c r="L83" s="121">
        <v>2271.875</v>
      </c>
      <c r="M83" s="121">
        <v>638.75400000000002</v>
      </c>
      <c r="N83" s="121">
        <v>599.11300000000006</v>
      </c>
      <c r="O83" s="121">
        <v>666.57</v>
      </c>
      <c r="P83" s="121">
        <v>495.1350427350427</v>
      </c>
      <c r="Q83" s="3">
        <v>0.13610225941309695</v>
      </c>
      <c r="R83" s="3">
        <v>0.13219982088844504</v>
      </c>
      <c r="S83" s="80">
        <v>0.14015149949456251</v>
      </c>
      <c r="T83" s="80">
        <v>0.13172136278721158</v>
      </c>
      <c r="U83" s="80">
        <v>0.14017598027449862</v>
      </c>
      <c r="V83" s="3">
        <v>0.6920400000000001</v>
      </c>
      <c r="W83" s="3">
        <v>0.69186000000000003</v>
      </c>
      <c r="X83" s="4">
        <v>0.20620131357873836</v>
      </c>
      <c r="Y83" s="4">
        <v>0.21704539202200826</v>
      </c>
      <c r="Z83" s="3">
        <v>0.28543045671070844</v>
      </c>
      <c r="AA83" s="4">
        <v>0.29039361514103407</v>
      </c>
      <c r="AB83" s="4">
        <v>0.30067422374479047</v>
      </c>
      <c r="AC83" s="4">
        <v>0.29340082530949108</v>
      </c>
      <c r="AD83" s="5">
        <v>0.4176302775991535</v>
      </c>
      <c r="AE83" s="5">
        <v>0.43054511463559658</v>
      </c>
      <c r="AF83" s="6">
        <v>3.2036885175015026</v>
      </c>
      <c r="AG83" s="6">
        <v>3.5365866986807486</v>
      </c>
      <c r="AH83" s="6">
        <v>3.1017902147257224</v>
      </c>
      <c r="AI83" s="7">
        <v>0.22858753056907513</v>
      </c>
      <c r="AJ83" s="6">
        <v>11.032227812397261</v>
      </c>
      <c r="AK83" s="6">
        <v>11.762187841158513</v>
      </c>
      <c r="AL83" s="6">
        <v>10.571852384715784</v>
      </c>
      <c r="AM83" s="6">
        <v>0.78716445076816899</v>
      </c>
      <c r="AN83" s="6">
        <v>14.23223774498816</v>
      </c>
      <c r="AO83" s="6" t="s">
        <v>289</v>
      </c>
      <c r="AP83" s="6" t="s">
        <v>293</v>
      </c>
      <c r="AQ83" s="6"/>
      <c r="AR83" s="6" t="s">
        <v>348</v>
      </c>
      <c r="AS83" s="119" t="s">
        <v>392</v>
      </c>
    </row>
    <row r="84" spans="1:45" s="122" customFormat="1" ht="12.75" x14ac:dyDescent="0.2">
      <c r="A84" s="119" t="s">
        <v>49</v>
      </c>
      <c r="B84" s="119" t="s">
        <v>180</v>
      </c>
      <c r="C84" s="119">
        <v>90.7</v>
      </c>
      <c r="D84" s="129"/>
      <c r="E84" s="120">
        <v>5104.4190443000016</v>
      </c>
      <c r="F84" s="129"/>
      <c r="G84" s="120">
        <v>5040.5740443000004</v>
      </c>
      <c r="H84" s="120">
        <v>845.52200000000005</v>
      </c>
      <c r="I84" s="121">
        <v>984.09090909090901</v>
      </c>
      <c r="J84" s="121">
        <v>738.68</v>
      </c>
      <c r="K84" s="121">
        <v>880.8888888888888</v>
      </c>
      <c r="L84" s="121">
        <v>1020.5454545454545</v>
      </c>
      <c r="M84" s="121">
        <v>125.876</v>
      </c>
      <c r="N84" s="121">
        <v>106.495</v>
      </c>
      <c r="O84" s="121">
        <v>152.94</v>
      </c>
      <c r="P84" s="121">
        <v>129.04285714285714</v>
      </c>
      <c r="Q84" s="3">
        <v>0.20765430635542304</v>
      </c>
      <c r="R84" s="3">
        <v>0.19856714352946508</v>
      </c>
      <c r="S84" s="80">
        <v>0.16388563407091583</v>
      </c>
      <c r="T84" s="80">
        <v>0.19251758391846119</v>
      </c>
      <c r="U84" s="80">
        <v>0.15854050087147975</v>
      </c>
      <c r="V84" s="3">
        <v>0.79992999999999992</v>
      </c>
      <c r="W84" s="3">
        <v>0.81011999999999995</v>
      </c>
      <c r="X84" s="4">
        <v>9.313660443995965E-2</v>
      </c>
      <c r="Y84" s="4">
        <v>0.12561909852128986</v>
      </c>
      <c r="Z84" s="3">
        <v>0.15424790839268523</v>
      </c>
      <c r="AA84" s="4">
        <v>0.1279109468822171</v>
      </c>
      <c r="AB84" s="4">
        <v>0.12089492936427852</v>
      </c>
      <c r="AC84" s="4">
        <v>0.1498610368786745</v>
      </c>
      <c r="AD84" s="5">
        <v>0.35281505192215035</v>
      </c>
      <c r="AE84" s="5">
        <v>0.29179658095313293</v>
      </c>
      <c r="AF84" s="6">
        <v>5.1220613845080836</v>
      </c>
      <c r="AG84" s="6">
        <v>5.7221451057896076</v>
      </c>
      <c r="AH84" s="6">
        <v>4.9390980302244794</v>
      </c>
      <c r="AI84" s="7">
        <v>0.31253876604533193</v>
      </c>
      <c r="AJ84" s="6">
        <v>40.043964252915572</v>
      </c>
      <c r="AK84" s="6">
        <v>47.331555888069865</v>
      </c>
      <c r="AL84" s="6">
        <v>32.957853042369557</v>
      </c>
      <c r="AM84" s="6">
        <v>2.4434090565612321</v>
      </c>
      <c r="AN84" s="6">
        <v>39.061240241448026</v>
      </c>
      <c r="AO84" s="6" t="s">
        <v>289</v>
      </c>
      <c r="AP84" s="6" t="s">
        <v>293</v>
      </c>
      <c r="AQ84" s="6"/>
      <c r="AR84" s="6" t="s">
        <v>354</v>
      </c>
      <c r="AS84" s="119" t="s">
        <v>392</v>
      </c>
    </row>
    <row r="85" spans="1:45" s="122" customFormat="1" ht="12.75" x14ac:dyDescent="0.2">
      <c r="A85" s="119" t="s">
        <v>66</v>
      </c>
      <c r="B85" s="119" t="s">
        <v>197</v>
      </c>
      <c r="C85" s="119">
        <v>9.8699999999999992</v>
      </c>
      <c r="D85" s="129"/>
      <c r="E85" s="120">
        <v>1322.7593773799997</v>
      </c>
      <c r="F85" s="129"/>
      <c r="G85" s="120">
        <v>1057.1763773799996</v>
      </c>
      <c r="H85" s="120">
        <v>329.91800000000001</v>
      </c>
      <c r="I85" s="121">
        <v>378.04444444444442</v>
      </c>
      <c r="J85" s="121">
        <v>299.27199999999999</v>
      </c>
      <c r="K85" s="121">
        <v>342.3</v>
      </c>
      <c r="L85" s="121">
        <v>390.6</v>
      </c>
      <c r="M85" s="121">
        <v>31.71</v>
      </c>
      <c r="N85" s="121">
        <v>18.983000000000001</v>
      </c>
      <c r="O85" s="121">
        <v>28.895</v>
      </c>
      <c r="P85" s="121">
        <v>17.939821428571424</v>
      </c>
      <c r="Q85" s="3">
        <v>0.17744658787242229</v>
      </c>
      <c r="R85" s="3">
        <v>0.12775514110697889</v>
      </c>
      <c r="S85" s="80">
        <v>0.14587395790603841</v>
      </c>
      <c r="T85" s="80">
        <v>0.14377556203052744</v>
      </c>
      <c r="U85" s="80">
        <v>0.14110429447852768</v>
      </c>
      <c r="V85" s="3">
        <v>0.75876999999999994</v>
      </c>
      <c r="W85" s="3">
        <v>0.76103999999999994</v>
      </c>
      <c r="X85" s="4">
        <v>4.6654981010809228E-3</v>
      </c>
      <c r="Y85" s="4">
        <v>2.3143881208397339E-2</v>
      </c>
      <c r="Z85" s="3">
        <v>4.1892227765687219E-2</v>
      </c>
      <c r="AA85" s="4">
        <v>8.3879026569480375E-2</v>
      </c>
      <c r="AB85" s="4">
        <v>5.5457201285422142E-2</v>
      </c>
      <c r="AC85" s="4">
        <v>7.3975934459805423E-2</v>
      </c>
      <c r="AD85" s="5">
        <v>0.1696473688726661</v>
      </c>
      <c r="AE85" s="5">
        <v>0.22975298447551878</v>
      </c>
      <c r="AF85" s="6">
        <v>2.7964341042852094</v>
      </c>
      <c r="AG85" s="6">
        <v>3.0884498316681261</v>
      </c>
      <c r="AH85" s="6">
        <v>2.7065447449564761</v>
      </c>
      <c r="AI85" s="7">
        <v>0.19170207927630734</v>
      </c>
      <c r="AJ85" s="6">
        <v>33.338895533900967</v>
      </c>
      <c r="AK85" s="6">
        <v>55.690690479903047</v>
      </c>
      <c r="AL85" s="6">
        <v>36.586827388129421</v>
      </c>
      <c r="AM85" s="6">
        <v>2.2854590368608152</v>
      </c>
      <c r="AN85" s="6">
        <v>58.929035697998259</v>
      </c>
      <c r="AO85" s="6" t="s">
        <v>289</v>
      </c>
      <c r="AP85" s="6" t="s">
        <v>293</v>
      </c>
      <c r="AQ85" s="6"/>
      <c r="AR85" s="6"/>
      <c r="AS85" s="119" t="s">
        <v>392</v>
      </c>
    </row>
    <row r="86" spans="1:45" s="122" customFormat="1" ht="12.75" x14ac:dyDescent="0.2">
      <c r="A86" s="119" t="s">
        <v>74</v>
      </c>
      <c r="B86" s="119" t="s">
        <v>74</v>
      </c>
      <c r="C86" s="119">
        <v>3.86</v>
      </c>
      <c r="D86" s="129"/>
      <c r="E86" s="120">
        <v>685.8663967</v>
      </c>
      <c r="F86" s="129"/>
      <c r="G86" s="120">
        <v>486.81139670000005</v>
      </c>
      <c r="H86" s="120">
        <v>234.08699999999999</v>
      </c>
      <c r="I86" s="121">
        <v>263.97000000000003</v>
      </c>
      <c r="J86" s="121">
        <v>226.709</v>
      </c>
      <c r="K86" s="121">
        <v>242.36363636363637</v>
      </c>
      <c r="L86" s="121">
        <v>271.81818181818181</v>
      </c>
      <c r="M86" s="121">
        <v>17</v>
      </c>
      <c r="N86" s="121">
        <v>17</v>
      </c>
      <c r="O86" s="121">
        <v>37</v>
      </c>
      <c r="P86" s="121">
        <v>39.601666666666667</v>
      </c>
      <c r="Q86" s="3">
        <v>6.4504607471962183E-2</v>
      </c>
      <c r="R86" s="3">
        <v>3.6315099785730616E-2</v>
      </c>
      <c r="S86" s="80">
        <v>0.12765766573966109</v>
      </c>
      <c r="T86" s="80">
        <v>6.9051675776596211E-2</v>
      </c>
      <c r="U86" s="80">
        <v>0.12153038259564886</v>
      </c>
      <c r="V86" s="3">
        <v>0.77012000000000003</v>
      </c>
      <c r="W86" s="3">
        <v>0.77709000000000006</v>
      </c>
      <c r="X86" s="4">
        <v>0.17174606151537883</v>
      </c>
      <c r="Y86" s="4">
        <v>0.19378762541806022</v>
      </c>
      <c r="Z86" s="3">
        <v>0.14416007723624125</v>
      </c>
      <c r="AA86" s="4">
        <v>6.4401257718680147E-2</v>
      </c>
      <c r="AB86" s="4">
        <v>7.0142535633908473E-2</v>
      </c>
      <c r="AC86" s="4">
        <v>0.13612040133779266</v>
      </c>
      <c r="AD86" s="5">
        <v>0.18047517702197186</v>
      </c>
      <c r="AE86" s="5">
        <v>0.19205892345834125</v>
      </c>
      <c r="AF86" s="6">
        <v>1.8441921305451376</v>
      </c>
      <c r="AG86" s="6">
        <v>2.0085991611777945</v>
      </c>
      <c r="AH86" s="6">
        <v>1.7909449376923079</v>
      </c>
      <c r="AI86" s="7">
        <v>0.14446387687411538</v>
      </c>
      <c r="AJ86" s="6">
        <v>28.635964511764708</v>
      </c>
      <c r="AK86" s="6">
        <v>28.635964511764708</v>
      </c>
      <c r="AL86" s="6">
        <v>13.157064775675677</v>
      </c>
      <c r="AM86" s="6">
        <v>2.2431840928506026</v>
      </c>
      <c r="AN86" s="6">
        <v>12.292699718867052</v>
      </c>
      <c r="AO86" s="6" t="s">
        <v>289</v>
      </c>
      <c r="AP86" s="6" t="s">
        <v>293</v>
      </c>
      <c r="AQ86" s="6"/>
      <c r="AR86" s="6"/>
      <c r="AS86" s="119" t="s">
        <v>392</v>
      </c>
    </row>
    <row r="87" spans="1:45" s="122" customFormat="1" ht="12.75" x14ac:dyDescent="0.2">
      <c r="A87" s="119" t="s">
        <v>120</v>
      </c>
      <c r="B87" s="119" t="s">
        <v>251</v>
      </c>
      <c r="C87" s="119">
        <v>25.8</v>
      </c>
      <c r="D87" s="129"/>
      <c r="E87" s="120">
        <v>3079.0820627999997</v>
      </c>
      <c r="F87" s="129"/>
      <c r="G87" s="120">
        <v>3110.7110627999996</v>
      </c>
      <c r="H87" s="120">
        <v>974.60299999999995</v>
      </c>
      <c r="I87" s="121">
        <v>1041.3463203463205</v>
      </c>
      <c r="J87" s="121">
        <v>900.02099999999996</v>
      </c>
      <c r="K87" s="121">
        <v>990.56521739130437</v>
      </c>
      <c r="L87" s="121">
        <v>1066.217391304348</v>
      </c>
      <c r="M87" s="121">
        <v>266.16800000000001</v>
      </c>
      <c r="N87" s="121">
        <v>243.577</v>
      </c>
      <c r="O87" s="121">
        <v>276.50799999999998</v>
      </c>
      <c r="P87" s="121">
        <v>251.26969696969695</v>
      </c>
      <c r="Q87" s="3">
        <v>0.11163954061861481</v>
      </c>
      <c r="R87" s="3">
        <v>0.11053719479122519</v>
      </c>
      <c r="S87" s="80">
        <v>6.848257223333043E-2</v>
      </c>
      <c r="T87" s="80">
        <v>0.1006023386024375</v>
      </c>
      <c r="U87" s="80">
        <v>7.6372734056094682E-2</v>
      </c>
      <c r="V87" s="3">
        <v>0.81814999999999993</v>
      </c>
      <c r="W87" s="3">
        <v>0.81518000000000002</v>
      </c>
      <c r="X87" s="4">
        <v>0.21521854013957778</v>
      </c>
      <c r="Y87" s="4">
        <v>0.22983399257839576</v>
      </c>
      <c r="Z87" s="3">
        <v>0.24791735711874474</v>
      </c>
      <c r="AA87" s="4">
        <v>0.25559988526341604</v>
      </c>
      <c r="AB87" s="4">
        <v>0.24589698459377604</v>
      </c>
      <c r="AC87" s="4">
        <v>0.2593354809770419</v>
      </c>
      <c r="AD87" s="5">
        <v>0.35845455190996994</v>
      </c>
      <c r="AE87" s="5">
        <v>0.32408245749674647</v>
      </c>
      <c r="AF87" s="6">
        <v>2.9872012816691673</v>
      </c>
      <c r="AG87" s="6">
        <v>3.1403394831409379</v>
      </c>
      <c r="AH87" s="6">
        <v>2.9175204683113805</v>
      </c>
      <c r="AI87" s="7">
        <v>0.43619875601216074</v>
      </c>
      <c r="AJ87" s="6">
        <v>11.68702121517237</v>
      </c>
      <c r="AK87" s="6">
        <v>12.770955643595247</v>
      </c>
      <c r="AL87" s="6">
        <v>11.24998576099064</v>
      </c>
      <c r="AM87" s="6">
        <v>1.7065686690845856</v>
      </c>
      <c r="AN87" s="6">
        <v>12.379969014628733</v>
      </c>
      <c r="AO87" s="6" t="s">
        <v>291</v>
      </c>
      <c r="AP87" s="6" t="s">
        <v>294</v>
      </c>
      <c r="AQ87" s="6"/>
      <c r="AR87" s="6" t="s">
        <v>335</v>
      </c>
      <c r="AS87" s="119" t="s">
        <v>393</v>
      </c>
    </row>
    <row r="88" spans="1:45" s="122" customFormat="1" ht="12.75" x14ac:dyDescent="0.2">
      <c r="A88" s="119" t="s">
        <v>110</v>
      </c>
      <c r="B88" s="119" t="s">
        <v>241</v>
      </c>
      <c r="C88" s="119">
        <v>29.47</v>
      </c>
      <c r="D88" s="129"/>
      <c r="E88" s="120">
        <v>7625.047789870001</v>
      </c>
      <c r="F88" s="129"/>
      <c r="G88" s="120">
        <v>9248.047789870001</v>
      </c>
      <c r="H88" s="120">
        <v>2528.4</v>
      </c>
      <c r="I88" s="121">
        <v>2498.6777777777775</v>
      </c>
      <c r="J88" s="121">
        <v>2548.1999999999998</v>
      </c>
      <c r="K88" s="121">
        <v>2511.5</v>
      </c>
      <c r="L88" s="121">
        <v>2494.8000000000002</v>
      </c>
      <c r="M88" s="121">
        <v>900.58799999999997</v>
      </c>
      <c r="N88" s="121">
        <v>952.69299999999998</v>
      </c>
      <c r="O88" s="121">
        <v>979.96</v>
      </c>
      <c r="P88" s="121">
        <v>1169.3174603174602</v>
      </c>
      <c r="Q88" s="3">
        <v>-6.8879148403255819E-3</v>
      </c>
      <c r="R88" s="3">
        <v>-4.410143329658142E-3</v>
      </c>
      <c r="S88" s="80">
        <v>-1.1755348134085852E-2</v>
      </c>
      <c r="T88" s="80">
        <v>-1.4402323208539292E-2</v>
      </c>
      <c r="U88" s="80">
        <v>-6.64941270157271E-3</v>
      </c>
      <c r="V88" s="3">
        <v>0.82278000000000007</v>
      </c>
      <c r="W88" s="3">
        <v>0.82403000000000004</v>
      </c>
      <c r="X88" s="4">
        <v>0.39909735217997211</v>
      </c>
      <c r="Y88" s="4">
        <v>0.40029942279942277</v>
      </c>
      <c r="Z88" s="3">
        <v>0.36244265147919635</v>
      </c>
      <c r="AA88" s="4">
        <v>0.36042582521422445</v>
      </c>
      <c r="AB88" s="4">
        <v>0.37933227155086602</v>
      </c>
      <c r="AC88" s="4">
        <v>0.39280102613435947</v>
      </c>
      <c r="AD88" s="5">
        <v>0.35803250814953819</v>
      </c>
      <c r="AE88" s="5">
        <v>0.3486704770801386</v>
      </c>
      <c r="AF88" s="6">
        <v>3.7011766271419115</v>
      </c>
      <c r="AG88" s="6">
        <v>3.6822806250726661</v>
      </c>
      <c r="AH88" s="6">
        <v>3.7069295293690878</v>
      </c>
      <c r="AI88" s="7">
        <v>-3.1485044806201574</v>
      </c>
      <c r="AJ88" s="6">
        <v>10.268899640979006</v>
      </c>
      <c r="AK88" s="6">
        <v>9.7072695924815253</v>
      </c>
      <c r="AL88" s="6">
        <v>9.4371686496081484</v>
      </c>
      <c r="AM88" s="6">
        <v>-8.7355129970190042</v>
      </c>
      <c r="AN88" s="6">
        <v>7.9089281599876484</v>
      </c>
      <c r="AO88" s="6" t="s">
        <v>291</v>
      </c>
      <c r="AP88" s="6" t="s">
        <v>294</v>
      </c>
      <c r="AQ88" s="6"/>
      <c r="AR88" s="6" t="s">
        <v>337</v>
      </c>
      <c r="AS88" s="119" t="s">
        <v>392</v>
      </c>
    </row>
    <row r="89" spans="1:45" s="122" customFormat="1" ht="12.75" x14ac:dyDescent="0.2">
      <c r="A89" s="119" t="s">
        <v>55</v>
      </c>
      <c r="B89" s="119" t="s">
        <v>186</v>
      </c>
      <c r="C89" s="119">
        <v>57.82</v>
      </c>
      <c r="D89" s="129"/>
      <c r="E89" s="120">
        <v>2765.7722297800001</v>
      </c>
      <c r="F89" s="129"/>
      <c r="G89" s="120">
        <v>3798.7522297800001</v>
      </c>
      <c r="H89" s="120">
        <v>1135.4179999999999</v>
      </c>
      <c r="I89" s="121">
        <v>1158.6666666666665</v>
      </c>
      <c r="J89" s="121">
        <v>1155.4949999999999</v>
      </c>
      <c r="K89" s="121">
        <v>1126.5</v>
      </c>
      <c r="L89" s="121">
        <v>1172.6666666666667</v>
      </c>
      <c r="M89" s="121">
        <v>231.20500000000001</v>
      </c>
      <c r="N89" s="121">
        <v>198.08</v>
      </c>
      <c r="O89" s="121">
        <v>255.13300000000001</v>
      </c>
      <c r="P89" s="121">
        <v>425.6</v>
      </c>
      <c r="Q89" s="3">
        <v>-1.9033628985547835E-2</v>
      </c>
      <c r="R89" s="3">
        <v>-1.108483684552046E-2</v>
      </c>
      <c r="S89" s="80">
        <v>2.047586586320338E-2</v>
      </c>
      <c r="T89" s="80">
        <v>-2.5093141900224492E-2</v>
      </c>
      <c r="U89" s="80">
        <v>4.0982393845243381E-2</v>
      </c>
      <c r="V89" s="3">
        <v>0.62222</v>
      </c>
      <c r="W89" s="3">
        <v>0.62458999999999998</v>
      </c>
      <c r="X89" s="4">
        <v>0.30344695960940971</v>
      </c>
      <c r="Y89" s="4">
        <v>0.30542950540079589</v>
      </c>
      <c r="Z89" s="3">
        <v>0.19285056252411009</v>
      </c>
      <c r="AA89" s="4">
        <v>0.19954401611047184</v>
      </c>
      <c r="AB89" s="4">
        <v>0.17583666222814026</v>
      </c>
      <c r="AC89" s="4">
        <v>0.21756651506537805</v>
      </c>
      <c r="AD89" s="5">
        <v>0.18176572567858962</v>
      </c>
      <c r="AE89" s="5">
        <v>0.22001988197367522</v>
      </c>
      <c r="AF89" s="6">
        <v>3.2785548588434987</v>
      </c>
      <c r="AG89" s="6">
        <v>3.3721724188015978</v>
      </c>
      <c r="AH89" s="6">
        <v>3.2394134989596362</v>
      </c>
      <c r="AI89" s="7">
        <v>1.6011800823208655</v>
      </c>
      <c r="AJ89" s="6">
        <v>16.430233904024565</v>
      </c>
      <c r="AK89" s="6">
        <v>19.177868688307754</v>
      </c>
      <c r="AL89" s="6">
        <v>14.889301775074177</v>
      </c>
      <c r="AM89" s="6">
        <v>8.0241949296761561</v>
      </c>
      <c r="AN89" s="6">
        <v>8.9256396376409768</v>
      </c>
      <c r="AO89" s="6" t="s">
        <v>290</v>
      </c>
      <c r="AP89" s="6" t="s">
        <v>293</v>
      </c>
      <c r="AQ89" s="6"/>
      <c r="AR89" s="6"/>
      <c r="AS89" s="119" t="s">
        <v>393</v>
      </c>
    </row>
    <row r="90" spans="1:45" s="122" customFormat="1" ht="12.75" x14ac:dyDescent="0.2">
      <c r="A90" s="119" t="s">
        <v>63</v>
      </c>
      <c r="B90" s="119" t="s">
        <v>194</v>
      </c>
      <c r="C90" s="119">
        <v>8.09</v>
      </c>
      <c r="D90" s="129"/>
      <c r="E90" s="120">
        <v>1451.0820961100001</v>
      </c>
      <c r="F90" s="129"/>
      <c r="G90" s="120">
        <v>1883.5130961100001</v>
      </c>
      <c r="H90" s="120">
        <v>612.75300000000004</v>
      </c>
      <c r="I90" s="121">
        <v>613.14285714285722</v>
      </c>
      <c r="J90" s="121">
        <v>698.76499999999999</v>
      </c>
      <c r="K90" s="121">
        <v>588.125</v>
      </c>
      <c r="L90" s="121">
        <v>621</v>
      </c>
      <c r="M90" s="121">
        <v>113.693</v>
      </c>
      <c r="N90" s="121">
        <v>97.180999999999997</v>
      </c>
      <c r="O90" s="121">
        <v>117.34700000000001</v>
      </c>
      <c r="P90" s="121">
        <v>183.18333333333334</v>
      </c>
      <c r="Q90" s="3">
        <v>-0.16336094405991142</v>
      </c>
      <c r="R90" s="3">
        <v>-0.11605929550523231</v>
      </c>
      <c r="S90" s="80">
        <v>6.3623865220918674E-4</v>
      </c>
      <c r="T90" s="80">
        <v>-0.15833649367097669</v>
      </c>
      <c r="U90" s="80">
        <v>5.5897980871413289E-2</v>
      </c>
      <c r="V90" s="3">
        <v>0.77590000000000003</v>
      </c>
      <c r="W90" s="3">
        <v>0.7780800000000001</v>
      </c>
      <c r="X90" s="4">
        <v>0.29547800212539849</v>
      </c>
      <c r="Y90" s="4">
        <v>0.3009482912864555</v>
      </c>
      <c r="Z90" s="3">
        <v>0.18131122981038036</v>
      </c>
      <c r="AA90" s="4">
        <v>0.18542660764212485</v>
      </c>
      <c r="AB90" s="4">
        <v>0.16523868225292243</v>
      </c>
      <c r="AC90" s="4">
        <v>0.1889645732689211</v>
      </c>
      <c r="AD90" s="5">
        <v>6.5251934305148057E-2</v>
      </c>
      <c r="AE90" s="5">
        <v>0.18606284629433403</v>
      </c>
      <c r="AF90" s="6">
        <v>3.07189927138164</v>
      </c>
      <c r="AG90" s="6">
        <v>3.2025727457768332</v>
      </c>
      <c r="AH90" s="6">
        <v>3.0330323608856684</v>
      </c>
      <c r="AI90" s="7">
        <v>48.282185634513141</v>
      </c>
      <c r="AJ90" s="6">
        <v>16.566658423209873</v>
      </c>
      <c r="AK90" s="6">
        <v>19.381495314001711</v>
      </c>
      <c r="AL90" s="6">
        <v>16.050798879477107</v>
      </c>
      <c r="AM90" s="6">
        <v>260.38434423444897</v>
      </c>
      <c r="AN90" s="6">
        <v>10.282120440960787</v>
      </c>
      <c r="AO90" s="6" t="s">
        <v>290</v>
      </c>
      <c r="AP90" s="6" t="s">
        <v>293</v>
      </c>
      <c r="AQ90" s="6"/>
      <c r="AR90" s="6"/>
      <c r="AS90" s="119" t="s">
        <v>392</v>
      </c>
    </row>
    <row r="91" spans="1:45" s="122" customFormat="1" ht="12.75" x14ac:dyDescent="0.2">
      <c r="A91" s="119" t="s">
        <v>126</v>
      </c>
      <c r="B91" s="119" t="s">
        <v>257</v>
      </c>
      <c r="C91" s="119">
        <v>7.17</v>
      </c>
      <c r="D91" s="129"/>
      <c r="E91" s="120">
        <v>1335.9832535099999</v>
      </c>
      <c r="F91" s="129"/>
      <c r="G91" s="120">
        <v>1603.57625351</v>
      </c>
      <c r="H91" s="120">
        <v>497.66500000000002</v>
      </c>
      <c r="I91" s="121">
        <v>541.6</v>
      </c>
      <c r="J91" s="121">
        <v>466.14699999999999</v>
      </c>
      <c r="K91" s="121">
        <v>508</v>
      </c>
      <c r="L91" s="121">
        <v>553.4</v>
      </c>
      <c r="M91" s="121">
        <v>64.239999999999995</v>
      </c>
      <c r="N91" s="121">
        <v>56.076999999999998</v>
      </c>
      <c r="O91" s="121">
        <v>76.460000000000008</v>
      </c>
      <c r="P91" s="121">
        <v>159.30000000000001</v>
      </c>
      <c r="Q91" s="3">
        <v>0.13112107315229915</v>
      </c>
      <c r="R91" s="3">
        <v>8.6479075565491254E-2</v>
      </c>
      <c r="S91" s="80">
        <v>8.8282278239377954E-2</v>
      </c>
      <c r="T91" s="80">
        <v>8.978498199065954E-2</v>
      </c>
      <c r="U91" s="80">
        <v>8.9370078740157455E-2</v>
      </c>
      <c r="V91" s="3">
        <v>0.81169999999999998</v>
      </c>
      <c r="W91" s="3">
        <v>0.81528999999999996</v>
      </c>
      <c r="X91" s="4">
        <v>0.23818897637795275</v>
      </c>
      <c r="Y91" s="4">
        <v>0.24141669678352007</v>
      </c>
      <c r="Z91" s="3">
        <v>0.14677745069474443</v>
      </c>
      <c r="AA91" s="4">
        <v>0.11861152141802067</v>
      </c>
      <c r="AB91" s="4">
        <v>0.11038779527559055</v>
      </c>
      <c r="AC91" s="4">
        <v>0.13816407661727503</v>
      </c>
      <c r="AD91" s="5">
        <v>0.23325652626023569</v>
      </c>
      <c r="AE91" s="5">
        <v>0.20689379965739862</v>
      </c>
      <c r="AF91" s="6">
        <v>2.960812875757016</v>
      </c>
      <c r="AG91" s="6">
        <v>3.1566461683267715</v>
      </c>
      <c r="AH91" s="6">
        <v>2.8976802557101555</v>
      </c>
      <c r="AI91" s="7">
        <v>0.33538020708173771</v>
      </c>
      <c r="AJ91" s="6">
        <v>24.96227044691781</v>
      </c>
      <c r="AK91" s="6">
        <v>28.595970781425542</v>
      </c>
      <c r="AL91" s="6">
        <v>20.972747233978549</v>
      </c>
      <c r="AM91" s="6">
        <v>2.8275516836156469</v>
      </c>
      <c r="AN91" s="6">
        <v>10.066392049654739</v>
      </c>
      <c r="AO91" s="6" t="s">
        <v>291</v>
      </c>
      <c r="AP91" s="6" t="s">
        <v>294</v>
      </c>
      <c r="AQ91" s="6"/>
      <c r="AR91" s="6" t="s">
        <v>335</v>
      </c>
      <c r="AS91" s="119" t="s">
        <v>393</v>
      </c>
    </row>
    <row r="92" spans="1:45" s="122" customFormat="1" ht="12.75" x14ac:dyDescent="0.2">
      <c r="A92" s="119" t="s">
        <v>105</v>
      </c>
      <c r="B92" s="119" t="s">
        <v>236</v>
      </c>
      <c r="C92" s="119">
        <v>87.74</v>
      </c>
      <c r="D92" s="129"/>
      <c r="E92" s="120">
        <v>12622.735894379999</v>
      </c>
      <c r="F92" s="129"/>
      <c r="G92" s="120">
        <v>16041.067894379999</v>
      </c>
      <c r="H92" s="120">
        <v>4133.2020000000002</v>
      </c>
      <c r="I92" s="121">
        <v>4353.2180735930742</v>
      </c>
      <c r="J92" s="121">
        <v>3991.1680000000001</v>
      </c>
      <c r="K92" s="121">
        <v>4190.3999999999996</v>
      </c>
      <c r="L92" s="121">
        <v>4417.6000000000004</v>
      </c>
      <c r="M92" s="121">
        <v>901.20900000000006</v>
      </c>
      <c r="N92" s="121">
        <v>803.54200000000003</v>
      </c>
      <c r="O92" s="121">
        <v>887.38599999999997</v>
      </c>
      <c r="P92" s="121">
        <v>1847.9458333333332</v>
      </c>
      <c r="Q92" s="3">
        <v>4.9718367757263904E-2</v>
      </c>
      <c r="R92" s="3">
        <v>4.2094212008029791E-2</v>
      </c>
      <c r="S92" s="80">
        <v>5.3231386608511677E-2</v>
      </c>
      <c r="T92" s="80">
        <v>4.9918219428497945E-2</v>
      </c>
      <c r="U92" s="80">
        <v>5.421916762122958E-2</v>
      </c>
      <c r="V92" s="3">
        <v>0.73265000000000002</v>
      </c>
      <c r="W92" s="3">
        <v>0.73069000000000006</v>
      </c>
      <c r="X92" s="4">
        <v>0.29812452271859491</v>
      </c>
      <c r="Y92" s="4">
        <v>0.29373211698659907</v>
      </c>
      <c r="Z92" s="3">
        <v>0.1737889897469323</v>
      </c>
      <c r="AA92" s="4">
        <v>0.207021331062369</v>
      </c>
      <c r="AB92" s="4">
        <v>0.19175782741504394</v>
      </c>
      <c r="AC92" s="4">
        <v>0.20087513582035493</v>
      </c>
      <c r="AD92" s="5">
        <v>0.21588320175496209</v>
      </c>
      <c r="AE92" s="5">
        <v>0.26025271767088065</v>
      </c>
      <c r="AF92" s="6">
        <v>3.6848757914716566</v>
      </c>
      <c r="AG92" s="6">
        <v>3.828051712099084</v>
      </c>
      <c r="AH92" s="6">
        <v>3.631172558488772</v>
      </c>
      <c r="AI92" s="7">
        <v>0.69223742349075812</v>
      </c>
      <c r="AJ92" s="6">
        <v>17.799498112402336</v>
      </c>
      <c r="AK92" s="6">
        <v>19.962948911668587</v>
      </c>
      <c r="AL92" s="6">
        <v>18.076764671045069</v>
      </c>
      <c r="AM92" s="6">
        <v>3.3437975687742472</v>
      </c>
      <c r="AN92" s="6">
        <v>8.6804859780143264</v>
      </c>
      <c r="AO92" s="6" t="s">
        <v>291</v>
      </c>
      <c r="AP92" s="6" t="s">
        <v>294</v>
      </c>
      <c r="AQ92" s="6"/>
      <c r="AR92" s="6"/>
      <c r="AS92" s="119" t="s">
        <v>393</v>
      </c>
    </row>
    <row r="93" spans="1:45" s="122" customFormat="1" ht="12.75" x14ac:dyDescent="0.2">
      <c r="A93" s="119" t="s">
        <v>47</v>
      </c>
      <c r="B93" s="119" t="s">
        <v>178</v>
      </c>
      <c r="C93" s="119">
        <v>34.58</v>
      </c>
      <c r="D93" s="129"/>
      <c r="E93" s="120">
        <v>4685.38646212</v>
      </c>
      <c r="F93" s="129"/>
      <c r="G93" s="120">
        <v>4404.8354621199996</v>
      </c>
      <c r="H93" s="120">
        <v>1123.9259999999999</v>
      </c>
      <c r="I93" s="121">
        <v>1367.1666666666667</v>
      </c>
      <c r="J93" s="121">
        <v>871.745</v>
      </c>
      <c r="K93" s="121">
        <v>1180.1666666666667</v>
      </c>
      <c r="L93" s="121">
        <v>1436.6666666666667</v>
      </c>
      <c r="M93" s="121">
        <v>93.911000000000001</v>
      </c>
      <c r="N93" s="121">
        <v>103.29</v>
      </c>
      <c r="O93" s="121">
        <v>105.83500000000001</v>
      </c>
      <c r="P93" s="121">
        <v>156.26666666666668</v>
      </c>
      <c r="Q93" s="3">
        <v>0.34186491400045793</v>
      </c>
      <c r="R93" s="3">
        <v>0.44339564487047151</v>
      </c>
      <c r="S93" s="80">
        <v>0.21642053539705186</v>
      </c>
      <c r="T93" s="80">
        <v>0.3537980334463251</v>
      </c>
      <c r="U93" s="80">
        <v>0.21734218330744248</v>
      </c>
      <c r="V93" s="3">
        <v>0.25878000000000001</v>
      </c>
      <c r="W93" s="3">
        <v>0.26201000000000002</v>
      </c>
      <c r="X93" s="4">
        <v>6.0048298262957212E-2</v>
      </c>
      <c r="Y93" s="4">
        <v>6.7877030162412991E-2</v>
      </c>
      <c r="Z93" s="3">
        <v>9.6317729103161567E-2</v>
      </c>
      <c r="AA93" s="4">
        <v>6.8690235279775691E-2</v>
      </c>
      <c r="AB93" s="4">
        <v>8.7521536506143194E-2</v>
      </c>
      <c r="AC93" s="4">
        <v>7.3667053364269139E-2</v>
      </c>
      <c r="AD93" s="5">
        <v>0.53971337397363306</v>
      </c>
      <c r="AE93" s="5">
        <v>0.28511077067682755</v>
      </c>
      <c r="AF93" s="6">
        <v>3.2218716046226987</v>
      </c>
      <c r="AG93" s="6">
        <v>3.732384235661629</v>
      </c>
      <c r="AH93" s="6">
        <v>3.0660107624965192</v>
      </c>
      <c r="AI93" s="7">
        <v>0.14887088227148834</v>
      </c>
      <c r="AJ93" s="6">
        <v>46.904361173025521</v>
      </c>
      <c r="AK93" s="6">
        <v>42.645323478749148</v>
      </c>
      <c r="AL93" s="6">
        <v>41.619837124958657</v>
      </c>
      <c r="AM93" s="6">
        <v>2.1672786774588331</v>
      </c>
      <c r="AN93" s="6">
        <v>28.187940243941974</v>
      </c>
      <c r="AO93" s="6" t="s">
        <v>289</v>
      </c>
      <c r="AP93" s="6" t="s">
        <v>293</v>
      </c>
      <c r="AQ93" s="6"/>
      <c r="AR93" s="6"/>
      <c r="AS93" s="119" t="s">
        <v>392</v>
      </c>
    </row>
    <row r="94" spans="1:45" s="122" customFormat="1" ht="12.75" x14ac:dyDescent="0.2">
      <c r="A94" s="119" t="s">
        <v>52</v>
      </c>
      <c r="B94" s="119" t="s">
        <v>183</v>
      </c>
      <c r="C94" s="119">
        <v>12.09</v>
      </c>
      <c r="D94" s="125">
        <v>242.251</v>
      </c>
      <c r="E94" s="124">
        <v>2928.81459</v>
      </c>
      <c r="F94" s="125">
        <v>432.74900000000025</v>
      </c>
      <c r="G94" s="124">
        <v>2496.0655899999997</v>
      </c>
      <c r="H94" s="120">
        <v>756.41899999999998</v>
      </c>
      <c r="I94" s="121">
        <v>817.10989010988999</v>
      </c>
      <c r="J94" s="121">
        <v>723.87599999999998</v>
      </c>
      <c r="K94" s="121">
        <v>781.49877329192543</v>
      </c>
      <c r="L94" s="121">
        <v>845.67402525011232</v>
      </c>
      <c r="M94" s="121">
        <v>73.578000000000003</v>
      </c>
      <c r="N94" s="121">
        <v>64.554333333333346</v>
      </c>
      <c r="O94" s="121">
        <v>101.74833333333333</v>
      </c>
      <c r="P94" s="121">
        <v>76.416666666666671</v>
      </c>
      <c r="Q94" s="3">
        <v>9.889962725710344E-2</v>
      </c>
      <c r="R94" s="3">
        <v>9.7375880968753853E-2</v>
      </c>
      <c r="S94" s="80">
        <v>8.0234486587314802E-2</v>
      </c>
      <c r="T94" s="80">
        <v>7.9603099552859158E-2</v>
      </c>
      <c r="U94" s="80">
        <v>8.2118173631751112E-2</v>
      </c>
      <c r="V94" s="3">
        <v>0.89911469333333327</v>
      </c>
      <c r="W94" s="3">
        <v>0.89857083333333332</v>
      </c>
      <c r="X94" s="4">
        <v>5.6696612774825364E-2</v>
      </c>
      <c r="Y94" s="4">
        <v>8.767799150277869E-2</v>
      </c>
      <c r="Z94" s="3">
        <v>5.6518939899711663E-2</v>
      </c>
      <c r="AA94" s="4">
        <v>9.004663985905835E-2</v>
      </c>
      <c r="AB94" s="4">
        <v>8.2603243331284618E-2</v>
      </c>
      <c r="AC94" s="4">
        <v>0.12031625696821037</v>
      </c>
      <c r="AD94" s="5">
        <v>0.15389482086846551</v>
      </c>
      <c r="AE94" s="5">
        <v>0.17028112644637317</v>
      </c>
      <c r="AF94" s="6">
        <v>3.0547489636483451</v>
      </c>
      <c r="AG94" s="6">
        <v>3.1939469072814597</v>
      </c>
      <c r="AH94" s="6">
        <v>2.9515694173789666</v>
      </c>
      <c r="AI94" s="7">
        <v>0.38072767628718218</v>
      </c>
      <c r="AJ94" s="6">
        <v>33.924074995243139</v>
      </c>
      <c r="AK94" s="6">
        <v>38.666119857690923</v>
      </c>
      <c r="AL94" s="6">
        <v>24.531758980491077</v>
      </c>
      <c r="AM94" s="6">
        <v>4.2281164170378807</v>
      </c>
      <c r="AN94" s="6">
        <v>32.663889945474367</v>
      </c>
      <c r="AO94" s="6" t="s">
        <v>289</v>
      </c>
      <c r="AP94" s="6" t="s">
        <v>293</v>
      </c>
      <c r="AQ94" s="6"/>
      <c r="AR94" s="6" t="s">
        <v>337</v>
      </c>
      <c r="AS94" s="119" t="s">
        <v>392</v>
      </c>
    </row>
    <row r="95" spans="1:45" s="122" customFormat="1" ht="12.75" x14ac:dyDescent="0.2">
      <c r="A95" s="119" t="s">
        <v>54</v>
      </c>
      <c r="B95" s="119" t="s">
        <v>185</v>
      </c>
      <c r="C95" s="119">
        <v>27.23</v>
      </c>
      <c r="D95" s="125">
        <v>112.97218896385017</v>
      </c>
      <c r="E95" s="124">
        <v>3076.2327054856401</v>
      </c>
      <c r="F95" s="125">
        <v>539.29399999999987</v>
      </c>
      <c r="G95" s="124">
        <v>2536.9387054856402</v>
      </c>
      <c r="H95" s="120">
        <v>654.62199999999996</v>
      </c>
      <c r="I95" s="121">
        <v>781</v>
      </c>
      <c r="J95" s="121">
        <v>593.41</v>
      </c>
      <c r="K95" s="121">
        <v>708.23899313501147</v>
      </c>
      <c r="L95" s="121">
        <v>832.77358998519321</v>
      </c>
      <c r="M95" s="121">
        <v>48.890999999999998</v>
      </c>
      <c r="N95" s="121">
        <v>39.176333333333332</v>
      </c>
      <c r="O95" s="121">
        <v>66.015666666666675</v>
      </c>
      <c r="P95" s="121">
        <v>45.603333333333332</v>
      </c>
      <c r="Q95" s="3">
        <v>0.23788479645908223</v>
      </c>
      <c r="R95" s="3">
        <v>0.22160370686228587</v>
      </c>
      <c r="S95" s="80">
        <v>0.19305492329924756</v>
      </c>
      <c r="T95" s="80">
        <v>0.19350700718729286</v>
      </c>
      <c r="U95" s="80">
        <v>0.17583696754527844</v>
      </c>
      <c r="V95" s="3">
        <v>0.6941775</v>
      </c>
      <c r="W95" s="3">
        <v>0.6983583333333333</v>
      </c>
      <c r="X95" s="4">
        <v>3.3541879078857958E-2</v>
      </c>
      <c r="Y95" s="4">
        <v>6.0272084277903717E-2</v>
      </c>
      <c r="Z95" s="3">
        <v>4.1798167492079402E-2</v>
      </c>
      <c r="AA95" s="4">
        <v>6.2600512163892438E-2</v>
      </c>
      <c r="AB95" s="4">
        <v>5.5315131916021394E-2</v>
      </c>
      <c r="AC95" s="4">
        <v>7.9272046400799573E-2</v>
      </c>
      <c r="AD95" s="5">
        <v>0.26340187435436524</v>
      </c>
      <c r="AE95" s="5">
        <v>0.25565543546314001</v>
      </c>
      <c r="AF95" s="6">
        <v>3.2483210057434575</v>
      </c>
      <c r="AG95" s="6">
        <v>3.5820376032332124</v>
      </c>
      <c r="AH95" s="6">
        <v>3.0463726707888843</v>
      </c>
      <c r="AI95" s="7">
        <v>0.16825890530169751</v>
      </c>
      <c r="AJ95" s="6">
        <v>51.889687375705961</v>
      </c>
      <c r="AK95" s="6">
        <v>64.756920559665446</v>
      </c>
      <c r="AL95" s="6">
        <v>38.429343117830207</v>
      </c>
      <c r="AM95" s="6">
        <v>2.6878199472423505</v>
      </c>
      <c r="AN95" s="6">
        <v>55.630554173356629</v>
      </c>
      <c r="AO95" s="6" t="s">
        <v>289</v>
      </c>
      <c r="AP95" s="6" t="s">
        <v>293</v>
      </c>
      <c r="AQ95" s="6"/>
      <c r="AR95" s="6" t="s">
        <v>361</v>
      </c>
      <c r="AS95" s="119" t="s">
        <v>392</v>
      </c>
    </row>
    <row r="96" spans="1:45" s="122" customFormat="1" ht="12.75" x14ac:dyDescent="0.2">
      <c r="A96" s="119" t="s">
        <v>124</v>
      </c>
      <c r="B96" s="119" t="s">
        <v>255</v>
      </c>
      <c r="C96" s="119">
        <v>42.22</v>
      </c>
      <c r="D96" s="129"/>
      <c r="E96" s="120">
        <v>3116.8141529599998</v>
      </c>
      <c r="F96" s="129"/>
      <c r="G96" s="120">
        <v>3231.8571529599999</v>
      </c>
      <c r="H96" s="120">
        <v>690.755</v>
      </c>
      <c r="I96" s="121">
        <v>776.16666666666663</v>
      </c>
      <c r="J96" s="121">
        <v>617.02200000000005</v>
      </c>
      <c r="K96" s="121">
        <v>713.42857142857144</v>
      </c>
      <c r="L96" s="121">
        <v>798.85714285714278</v>
      </c>
      <c r="M96" s="121">
        <v>36.36</v>
      </c>
      <c r="N96" s="121">
        <v>56.465000000000003</v>
      </c>
      <c r="O96" s="121">
        <v>70.548000000000002</v>
      </c>
      <c r="P96" s="121">
        <v>69.837999999999994</v>
      </c>
      <c r="Q96" s="3">
        <v>0.21390179939241305</v>
      </c>
      <c r="R96" s="3">
        <v>0.15965422995823084</v>
      </c>
      <c r="S96" s="80">
        <v>0.12364972626570436</v>
      </c>
      <c r="T96" s="80">
        <v>0.15624494982119175</v>
      </c>
      <c r="U96" s="80">
        <v>0.11974369243091698</v>
      </c>
      <c r="V96" s="3">
        <v>0.76701000000000008</v>
      </c>
      <c r="W96" s="3">
        <v>0.77162999999999993</v>
      </c>
      <c r="X96" s="4">
        <v>8.2652983580296352E-2</v>
      </c>
      <c r="Y96" s="4">
        <v>9.2903969957081556E-2</v>
      </c>
      <c r="Z96" s="3">
        <v>0.10516898176632816</v>
      </c>
      <c r="AA96" s="4">
        <v>4.6845608761004943E-2</v>
      </c>
      <c r="AB96" s="4">
        <v>7.9145975170204247E-2</v>
      </c>
      <c r="AC96" s="4">
        <v>8.8311158798283274E-2</v>
      </c>
      <c r="AD96" s="5">
        <v>0.26482321172455903</v>
      </c>
      <c r="AE96" s="5">
        <v>0.1704953350267093</v>
      </c>
      <c r="AF96" s="6">
        <v>4.1638700703800735</v>
      </c>
      <c r="AG96" s="6">
        <v>4.5300360574128948</v>
      </c>
      <c r="AH96" s="6">
        <v>4.0456008710157372</v>
      </c>
      <c r="AI96" s="7">
        <v>0.33674721296451182</v>
      </c>
      <c r="AJ96" s="6">
        <v>88.884960202420245</v>
      </c>
      <c r="AK96" s="6">
        <v>57.23646777579031</v>
      </c>
      <c r="AL96" s="6">
        <v>45.810755130691156</v>
      </c>
      <c r="AM96" s="6">
        <v>7.1884477941681855</v>
      </c>
      <c r="AN96" s="6">
        <v>46.27648490735703</v>
      </c>
      <c r="AO96" s="6" t="s">
        <v>291</v>
      </c>
      <c r="AP96" s="6" t="s">
        <v>294</v>
      </c>
      <c r="AQ96" s="6"/>
      <c r="AR96" s="6"/>
      <c r="AS96" s="119" t="s">
        <v>393</v>
      </c>
    </row>
    <row r="97" spans="1:45" s="122" customFormat="1" ht="12.75" x14ac:dyDescent="0.2">
      <c r="A97" s="119" t="s">
        <v>100</v>
      </c>
      <c r="B97" s="119" t="s">
        <v>231</v>
      </c>
      <c r="C97" s="119">
        <v>120.68</v>
      </c>
      <c r="D97" s="129"/>
      <c r="E97" s="120">
        <v>18296.634876240001</v>
      </c>
      <c r="F97" s="129"/>
      <c r="G97" s="120">
        <v>16932.566876240002</v>
      </c>
      <c r="H97" s="120">
        <v>4896.125</v>
      </c>
      <c r="I97" s="121">
        <v>5350.173913043478</v>
      </c>
      <c r="J97" s="121">
        <v>4458.0360000000001</v>
      </c>
      <c r="K97" s="121">
        <v>5019.5600000000004</v>
      </c>
      <c r="L97" s="121">
        <v>5459</v>
      </c>
      <c r="M97" s="121">
        <v>880.95100000000002</v>
      </c>
      <c r="N97" s="121">
        <v>926.577</v>
      </c>
      <c r="O97" s="121">
        <v>908.49700000000007</v>
      </c>
      <c r="P97" s="121">
        <v>1149.2878787878788</v>
      </c>
      <c r="Q97" s="3">
        <v>0.1470940299863539</v>
      </c>
      <c r="R97" s="3">
        <v>0.12836013312281602</v>
      </c>
      <c r="S97" s="80">
        <v>9.2736380922357586E-2</v>
      </c>
      <c r="T97" s="80">
        <v>0.12595770873093004</v>
      </c>
      <c r="U97" s="80">
        <v>8.7545521918255709E-2</v>
      </c>
      <c r="V97" s="3">
        <v>0.50507999999999997</v>
      </c>
      <c r="W97" s="3">
        <v>0.50390999999999997</v>
      </c>
      <c r="X97" s="4">
        <v>0.18027808546300206</v>
      </c>
      <c r="Y97" s="4">
        <v>0.19137570983696647</v>
      </c>
      <c r="Z97" s="3">
        <v>0.16999218769945618</v>
      </c>
      <c r="AA97" s="4">
        <v>0.16465838574934583</v>
      </c>
      <c r="AB97" s="4">
        <v>0.18459327112336538</v>
      </c>
      <c r="AC97" s="4">
        <v>0.16642187213775417</v>
      </c>
      <c r="AD97" s="5">
        <v>0.2983523208222722</v>
      </c>
      <c r="AE97" s="5">
        <v>0.25739476667170341</v>
      </c>
      <c r="AF97" s="6">
        <v>3.1648628907107454</v>
      </c>
      <c r="AG97" s="6">
        <v>3.3733169593032057</v>
      </c>
      <c r="AH97" s="6">
        <v>3.1017708144788427</v>
      </c>
      <c r="AI97" s="7">
        <v>0.34127522114114939</v>
      </c>
      <c r="AJ97" s="6">
        <v>19.220781719119454</v>
      </c>
      <c r="AK97" s="6">
        <v>18.274322453762615</v>
      </c>
      <c r="AL97" s="6">
        <v>18.637999769113161</v>
      </c>
      <c r="AM97" s="6">
        <v>2.0726258160981956</v>
      </c>
      <c r="AN97" s="6">
        <v>14.733094456802501</v>
      </c>
      <c r="AO97" s="6" t="s">
        <v>291</v>
      </c>
      <c r="AP97" s="6" t="s">
        <v>294</v>
      </c>
      <c r="AQ97" s="6"/>
      <c r="AR97" s="6"/>
      <c r="AS97" s="119" t="s">
        <v>392</v>
      </c>
    </row>
    <row r="98" spans="1:45" s="122" customFormat="1" ht="12.75" x14ac:dyDescent="0.2">
      <c r="A98" s="119" t="s">
        <v>113</v>
      </c>
      <c r="B98" s="119" t="s">
        <v>244</v>
      </c>
      <c r="C98" s="119">
        <v>13.74</v>
      </c>
      <c r="D98" s="129"/>
      <c r="E98" s="120">
        <v>7296.2374297800006</v>
      </c>
      <c r="F98" s="129"/>
      <c r="G98" s="120">
        <v>5852.9094297800002</v>
      </c>
      <c r="H98" s="120">
        <v>1496.6510000000001</v>
      </c>
      <c r="I98" s="121">
        <v>1640.0555555555559</v>
      </c>
      <c r="J98" s="121">
        <v>1429.664</v>
      </c>
      <c r="K98" s="121">
        <v>1560.9428623188408</v>
      </c>
      <c r="L98" s="121">
        <v>1701.4585819835181</v>
      </c>
      <c r="M98" s="121">
        <v>403.43700000000001</v>
      </c>
      <c r="N98" s="121">
        <v>356.28799999999995</v>
      </c>
      <c r="O98" s="121">
        <v>407.71499999999997</v>
      </c>
      <c r="P98" s="121">
        <v>374.21428571428572</v>
      </c>
      <c r="Q98" s="3">
        <v>0.14379310235792242</v>
      </c>
      <c r="R98" s="3">
        <v>8.2537997119791984E-2</v>
      </c>
      <c r="S98" s="80">
        <v>9.5816964379508596E-2</v>
      </c>
      <c r="T98" s="80">
        <v>9.1824975881634296E-2</v>
      </c>
      <c r="U98" s="80">
        <v>9.0019771419394434E-2</v>
      </c>
      <c r="V98" s="3">
        <v>0.84841772500000001</v>
      </c>
      <c r="W98" s="3">
        <v>0.84802999999999995</v>
      </c>
      <c r="X98" s="4">
        <v>0.21697505709051773</v>
      </c>
      <c r="Y98" s="4">
        <v>0.22261507705451888</v>
      </c>
      <c r="Z98" s="3">
        <v>0.20688991621961297</v>
      </c>
      <c r="AA98" s="4">
        <v>0.24598983774262384</v>
      </c>
      <c r="AB98" s="4">
        <v>0.22825178845478072</v>
      </c>
      <c r="AC98" s="4">
        <v>0.23962675572431269</v>
      </c>
      <c r="AD98" s="5">
        <v>0.28942791333940499</v>
      </c>
      <c r="AE98" s="5">
        <v>0.34180680212213244</v>
      </c>
      <c r="AF98" s="6">
        <v>3.5687263214674294</v>
      </c>
      <c r="AG98" s="6">
        <v>3.7495987656366085</v>
      </c>
      <c r="AH98" s="6">
        <v>3.4399364708348199</v>
      </c>
      <c r="AI98" s="7">
        <v>0.37245245083454515</v>
      </c>
      <c r="AJ98" s="6">
        <v>14.507616876439196</v>
      </c>
      <c r="AK98" s="6">
        <v>16.427467188847228</v>
      </c>
      <c r="AL98" s="6">
        <v>14.355393914327411</v>
      </c>
      <c r="AM98" s="6">
        <v>1.5140969003127582</v>
      </c>
      <c r="AN98" s="6">
        <v>15.640529111838138</v>
      </c>
      <c r="AO98" s="6" t="s">
        <v>291</v>
      </c>
      <c r="AP98" s="6" t="s">
        <v>294</v>
      </c>
      <c r="AQ98" s="6"/>
      <c r="AR98" s="6"/>
      <c r="AS98" s="119" t="s">
        <v>393</v>
      </c>
    </row>
    <row r="99" spans="1:45" s="122" customFormat="1" ht="12.75" x14ac:dyDescent="0.2">
      <c r="A99" s="119" t="s">
        <v>20</v>
      </c>
      <c r="B99" s="119" t="s">
        <v>151</v>
      </c>
      <c r="C99" s="119">
        <v>81.31</v>
      </c>
      <c r="D99" s="129"/>
      <c r="E99" s="120">
        <v>25102.119064489998</v>
      </c>
      <c r="F99" s="129"/>
      <c r="G99" s="120">
        <v>17377.728064489998</v>
      </c>
      <c r="H99" s="120">
        <v>4753.6210000000001</v>
      </c>
      <c r="I99" s="121">
        <v>4913.74</v>
      </c>
      <c r="J99" s="121">
        <v>4665.433</v>
      </c>
      <c r="K99" s="121">
        <v>4819.3215434782596</v>
      </c>
      <c r="L99" s="121">
        <v>4982.3382806324107</v>
      </c>
      <c r="M99" s="121">
        <v>1764.3579999999999</v>
      </c>
      <c r="N99" s="121">
        <v>1774.5263333333332</v>
      </c>
      <c r="O99" s="121">
        <v>1791.0086666666666</v>
      </c>
      <c r="P99" s="121">
        <v>2055.6623376623374</v>
      </c>
      <c r="Q99" s="3">
        <v>4.7058975329456798E-2</v>
      </c>
      <c r="R99" s="3">
        <v>3.633862066589956E-2</v>
      </c>
      <c r="S99" s="80">
        <v>3.3683585628723867E-2</v>
      </c>
      <c r="T99" s="80">
        <v>3.2984836236692239E-2</v>
      </c>
      <c r="U99" s="80">
        <v>3.3825661077699465E-2</v>
      </c>
      <c r="V99" s="3">
        <v>0.78213442166666669</v>
      </c>
      <c r="W99" s="3">
        <v>0.78364333333333336</v>
      </c>
      <c r="X99" s="4">
        <v>0.39677846409474088</v>
      </c>
      <c r="Y99" s="4">
        <v>0.39291999520450999</v>
      </c>
      <c r="Z99" s="3">
        <v>0.38818618480522532</v>
      </c>
      <c r="AA99" s="4">
        <v>0.35906621025939511</v>
      </c>
      <c r="AB99" s="4">
        <v>0.36821081916285675</v>
      </c>
      <c r="AC99" s="4">
        <v>0.35947151032051822</v>
      </c>
      <c r="AD99" s="5">
        <v>0.42452480547112487</v>
      </c>
      <c r="AE99" s="5">
        <v>0.39274979588811898</v>
      </c>
      <c r="AF99" s="6">
        <v>3.5365583169825832</v>
      </c>
      <c r="AG99" s="6">
        <v>3.6058453265079158</v>
      </c>
      <c r="AH99" s="6">
        <v>3.4878659548352133</v>
      </c>
      <c r="AI99" s="7">
        <v>1.0499352283822074</v>
      </c>
      <c r="AJ99" s="6">
        <v>9.8493208659977167</v>
      </c>
      <c r="AK99" s="6">
        <v>9.7928826065077637</v>
      </c>
      <c r="AL99" s="6">
        <v>9.702760454438522</v>
      </c>
      <c r="AM99" s="6">
        <v>2.9240713784338483</v>
      </c>
      <c r="AN99" s="6">
        <v>8.4535907216413957</v>
      </c>
      <c r="AO99" s="6" t="s">
        <v>289</v>
      </c>
      <c r="AP99" s="6" t="s">
        <v>293</v>
      </c>
      <c r="AQ99" s="6"/>
      <c r="AR99" s="6" t="s">
        <v>349</v>
      </c>
      <c r="AS99" s="119" t="s">
        <v>392</v>
      </c>
    </row>
    <row r="100" spans="1:45" s="122" customFormat="1" ht="12.75" x14ac:dyDescent="0.2">
      <c r="A100" s="119" t="s">
        <v>51</v>
      </c>
      <c r="B100" s="119" t="s">
        <v>182</v>
      </c>
      <c r="C100" s="119">
        <v>34.94</v>
      </c>
      <c r="D100" s="129"/>
      <c r="E100" s="120">
        <v>4717.8617235000002</v>
      </c>
      <c r="F100" s="129"/>
      <c r="G100" s="120">
        <v>4300.8907235000006</v>
      </c>
      <c r="H100" s="120">
        <v>866.298</v>
      </c>
      <c r="I100" s="121">
        <v>976.31746031746025</v>
      </c>
      <c r="J100" s="121">
        <v>770.48800000000006</v>
      </c>
      <c r="K100" s="121">
        <v>895.8888888888888</v>
      </c>
      <c r="L100" s="121">
        <v>1004.1111111111112</v>
      </c>
      <c r="M100" s="121">
        <v>344.99200000000002</v>
      </c>
      <c r="N100" s="121">
        <v>326.23700000000002</v>
      </c>
      <c r="O100" s="121">
        <v>346.42200000000003</v>
      </c>
      <c r="P100" s="121">
        <v>280.41746031746038</v>
      </c>
      <c r="Q100" s="3">
        <v>0.15506692738781602</v>
      </c>
      <c r="R100" s="3">
        <v>0.17834335124724049</v>
      </c>
      <c r="S100" s="80">
        <v>0.12699955479230041</v>
      </c>
      <c r="T100" s="80">
        <v>0.16275514854078033</v>
      </c>
      <c r="U100" s="80">
        <v>0.12079871015750987</v>
      </c>
      <c r="V100" s="3">
        <v>0.85840000000000005</v>
      </c>
      <c r="W100" s="3">
        <v>0.85775000000000001</v>
      </c>
      <c r="X100" s="4">
        <v>0.20352189011534169</v>
      </c>
      <c r="Y100" s="4">
        <v>0.2161115414407436</v>
      </c>
      <c r="Z100" s="3">
        <v>0.33426834645814724</v>
      </c>
      <c r="AA100" s="4">
        <v>0.35336047343435006</v>
      </c>
      <c r="AB100" s="4">
        <v>0.36414895200297664</v>
      </c>
      <c r="AC100" s="4">
        <v>0.34500365165431007</v>
      </c>
      <c r="AD100" s="5">
        <v>0.51261169770538773</v>
      </c>
      <c r="AE100" s="5">
        <v>0.48036002822665047</v>
      </c>
      <c r="AF100" s="6">
        <v>4.4052174608262353</v>
      </c>
      <c r="AG100" s="6">
        <v>4.8006965783827367</v>
      </c>
      <c r="AH100" s="6">
        <v>4.283281676607281</v>
      </c>
      <c r="AI100" s="7">
        <v>0.34686873257395939</v>
      </c>
      <c r="AJ100" s="6">
        <v>12.466639004672572</v>
      </c>
      <c r="AK100" s="6">
        <v>13.183332128176756</v>
      </c>
      <c r="AL100" s="6">
        <v>12.415177799042787</v>
      </c>
      <c r="AM100" s="6">
        <v>0.98162855964817808</v>
      </c>
      <c r="AN100" s="6">
        <v>15.337456942342198</v>
      </c>
      <c r="AO100" s="6" t="s">
        <v>290</v>
      </c>
      <c r="AP100" s="6" t="s">
        <v>293</v>
      </c>
      <c r="AQ100" s="6"/>
      <c r="AR100" s="6"/>
      <c r="AS100" s="119" t="s">
        <v>393</v>
      </c>
    </row>
    <row r="101" spans="1:45" s="122" customFormat="1" ht="12.75" x14ac:dyDescent="0.2">
      <c r="A101" s="119" t="s">
        <v>79</v>
      </c>
      <c r="B101" s="119" t="s">
        <v>209</v>
      </c>
      <c r="C101" s="119">
        <v>20.62</v>
      </c>
      <c r="D101" s="129"/>
      <c r="E101" s="120">
        <v>592.51289568000004</v>
      </c>
      <c r="F101" s="129"/>
      <c r="G101" s="120">
        <v>529.28889568</v>
      </c>
      <c r="H101" s="120">
        <v>236.691</v>
      </c>
      <c r="I101" s="121">
        <v>253.76161616161608</v>
      </c>
      <c r="J101" s="121">
        <v>216.93100000000001</v>
      </c>
      <c r="K101" s="121">
        <v>242</v>
      </c>
      <c r="L101" s="121">
        <v>259.53846153846155</v>
      </c>
      <c r="M101" s="121">
        <v>39.609000000000002</v>
      </c>
      <c r="N101" s="121">
        <v>29.901</v>
      </c>
      <c r="O101" s="121">
        <v>45.322000000000003</v>
      </c>
      <c r="P101" s="121">
        <v>50.153750000000002</v>
      </c>
      <c r="Q101" s="3">
        <v>0.11164829614128768</v>
      </c>
      <c r="R101" s="3">
        <v>0.13157240522063401</v>
      </c>
      <c r="S101" s="80">
        <v>7.2121948707876804E-2</v>
      </c>
      <c r="T101" s="80">
        <v>0.11556209117184713</v>
      </c>
      <c r="U101" s="80">
        <v>7.2472981563890704E-2</v>
      </c>
      <c r="V101" s="3">
        <v>0.80591000000000013</v>
      </c>
      <c r="W101" s="3">
        <v>0.80998000000000003</v>
      </c>
      <c r="X101" s="4">
        <v>0.10537190082644628</v>
      </c>
      <c r="Y101" s="4">
        <v>0.16486573799644338</v>
      </c>
      <c r="Z101" s="3">
        <v>0.12128048806249496</v>
      </c>
      <c r="AA101" s="4">
        <v>0.15608743591376625</v>
      </c>
      <c r="AB101" s="4">
        <v>0.12355785123966942</v>
      </c>
      <c r="AC101" s="4">
        <v>0.17462537048014226</v>
      </c>
      <c r="AD101" s="5">
        <v>0.25285289328312899</v>
      </c>
      <c r="AE101" s="5">
        <v>0.22820938462164306</v>
      </c>
      <c r="AF101" s="6">
        <v>2.0857720867560432</v>
      </c>
      <c r="AG101" s="6">
        <v>2.1871441970247933</v>
      </c>
      <c r="AH101" s="6">
        <v>2.0393466638529936</v>
      </c>
      <c r="AI101" s="7">
        <v>0.28920073904329285</v>
      </c>
      <c r="AJ101" s="6">
        <v>13.362844193996313</v>
      </c>
      <c r="AK101" s="6">
        <v>17.701377735861676</v>
      </c>
      <c r="AL101" s="6">
        <v>11.678409948369444</v>
      </c>
      <c r="AM101" s="6">
        <v>1.8528124147229108</v>
      </c>
      <c r="AN101" s="6">
        <v>10.55332643481295</v>
      </c>
      <c r="AO101" s="6" t="s">
        <v>289</v>
      </c>
      <c r="AP101" s="6" t="s">
        <v>293</v>
      </c>
      <c r="AQ101" s="6"/>
      <c r="AR101" s="6"/>
      <c r="AS101" s="119" t="s">
        <v>392</v>
      </c>
    </row>
    <row r="102" spans="1:45" s="122" customFormat="1" ht="12.75" x14ac:dyDescent="0.2">
      <c r="A102" s="119" t="s">
        <v>60</v>
      </c>
      <c r="B102" s="119" t="s">
        <v>191</v>
      </c>
      <c r="C102" s="119">
        <v>10.29</v>
      </c>
      <c r="D102" s="129"/>
      <c r="E102" s="120">
        <v>1657.7932320599998</v>
      </c>
      <c r="F102" s="129"/>
      <c r="G102" s="120">
        <v>1560.1782320599998</v>
      </c>
      <c r="H102" s="120">
        <v>733.32399999999996</v>
      </c>
      <c r="I102" s="121">
        <v>804.51470588235293</v>
      </c>
      <c r="J102" s="121">
        <v>656.84900000000005</v>
      </c>
      <c r="K102" s="121">
        <v>751.6</v>
      </c>
      <c r="L102" s="121">
        <v>831.7619047619047</v>
      </c>
      <c r="M102" s="121">
        <v>159.69900000000001</v>
      </c>
      <c r="N102" s="121">
        <v>152.64699999999999</v>
      </c>
      <c r="O102" s="121">
        <v>175.10400000000001</v>
      </c>
      <c r="P102" s="121">
        <v>264.51249999999999</v>
      </c>
      <c r="Q102" s="3">
        <v>0.11244072754724099</v>
      </c>
      <c r="R102" s="3">
        <v>0.14858432569671642</v>
      </c>
      <c r="S102" s="80">
        <v>9.7079470851019423E-2</v>
      </c>
      <c r="T102" s="80">
        <v>0.1442508095467907</v>
      </c>
      <c r="U102" s="80">
        <v>0.10665500899668001</v>
      </c>
      <c r="V102" s="3">
        <v>0.81858000000000009</v>
      </c>
      <c r="W102" s="3">
        <v>0.81633999999999995</v>
      </c>
      <c r="X102" s="4">
        <v>0.24634779137839274</v>
      </c>
      <c r="Y102" s="4">
        <v>0.22691589855155439</v>
      </c>
      <c r="Z102" s="3">
        <v>0.19163698447071142</v>
      </c>
      <c r="AA102" s="4">
        <v>0.19850351874531597</v>
      </c>
      <c r="AB102" s="4">
        <v>0.20309606173496539</v>
      </c>
      <c r="AC102" s="4">
        <v>0.21052178393542112</v>
      </c>
      <c r="AD102" s="5">
        <v>0.34022131016742785</v>
      </c>
      <c r="AE102" s="5">
        <v>0.29558298959633539</v>
      </c>
      <c r="AF102" s="6">
        <v>1.9392786988882591</v>
      </c>
      <c r="AG102" s="6">
        <v>2.075809249680681</v>
      </c>
      <c r="AH102" s="6">
        <v>1.8757510089460123</v>
      </c>
      <c r="AI102" s="7">
        <v>0.19976197664533263</v>
      </c>
      <c r="AJ102" s="6">
        <v>9.7694928087214059</v>
      </c>
      <c r="AK102" s="6">
        <v>10.220824726722437</v>
      </c>
      <c r="AL102" s="6">
        <v>8.9100090920824186</v>
      </c>
      <c r="AM102" s="6">
        <v>1.0063397259049665</v>
      </c>
      <c r="AN102" s="6">
        <v>5.8983157017532246</v>
      </c>
      <c r="AO102" s="6" t="s">
        <v>289</v>
      </c>
      <c r="AP102" s="6" t="s">
        <v>293</v>
      </c>
      <c r="AQ102" s="6"/>
      <c r="AR102" s="6" t="s">
        <v>345</v>
      </c>
      <c r="AS102" s="119" t="s">
        <v>392</v>
      </c>
    </row>
    <row r="103" spans="1:45" s="122" customFormat="1" ht="12.75" x14ac:dyDescent="0.2">
      <c r="A103" s="119" t="s">
        <v>57</v>
      </c>
      <c r="B103" s="119" t="s">
        <v>188</v>
      </c>
      <c r="C103" s="119">
        <v>48.85</v>
      </c>
      <c r="D103" s="129"/>
      <c r="E103" s="120">
        <v>2436.6223680000003</v>
      </c>
      <c r="F103" s="129"/>
      <c r="G103" s="120">
        <v>2493.3803680000001</v>
      </c>
      <c r="H103" s="120">
        <v>991.77</v>
      </c>
      <c r="I103" s="121">
        <v>1029.5714285714287</v>
      </c>
      <c r="J103" s="121">
        <v>939.827</v>
      </c>
      <c r="K103" s="121">
        <v>1000.1666666666666</v>
      </c>
      <c r="L103" s="121">
        <v>1041.1428571428571</v>
      </c>
      <c r="M103" s="121">
        <v>174.911</v>
      </c>
      <c r="N103" s="121">
        <v>158.054</v>
      </c>
      <c r="O103" s="121">
        <v>201.18</v>
      </c>
      <c r="P103" s="121">
        <v>208.32857142857139</v>
      </c>
      <c r="Q103" s="3">
        <v>6.6125564975862305E-2</v>
      </c>
      <c r="R103" s="3">
        <v>7.3548641299641518E-2</v>
      </c>
      <c r="S103" s="80">
        <v>3.811511597591033E-2</v>
      </c>
      <c r="T103" s="80">
        <v>6.4202950826765637E-2</v>
      </c>
      <c r="U103" s="80">
        <v>4.0969362249148933E-2</v>
      </c>
      <c r="V103" s="3">
        <v>0.66415999999999997</v>
      </c>
      <c r="W103" s="3">
        <v>0.66590000000000005</v>
      </c>
      <c r="X103" s="4">
        <v>0.13977670388268623</v>
      </c>
      <c r="Y103" s="4">
        <v>0.14637760702524699</v>
      </c>
      <c r="Z103" s="3">
        <v>0.15726630166268388</v>
      </c>
      <c r="AA103" s="4">
        <v>0.16988719300679894</v>
      </c>
      <c r="AB103" s="4">
        <v>0.15802766205632396</v>
      </c>
      <c r="AC103" s="4">
        <v>0.1932299670691548</v>
      </c>
      <c r="AD103" s="5">
        <v>0.23081494296232541</v>
      </c>
      <c r="AE103" s="5">
        <v>0.20800230898270927</v>
      </c>
      <c r="AF103" s="6">
        <v>2.4217653081726098</v>
      </c>
      <c r="AG103" s="6">
        <v>2.4929648738543579</v>
      </c>
      <c r="AH103" s="6">
        <v>2.394849420417124</v>
      </c>
      <c r="AI103" s="7">
        <v>0.63538185472221143</v>
      </c>
      <c r="AJ103" s="6">
        <v>14.255137572822751</v>
      </c>
      <c r="AK103" s="6">
        <v>15.775496779581662</v>
      </c>
      <c r="AL103" s="6">
        <v>12.393778546575206</v>
      </c>
      <c r="AM103" s="6">
        <v>3.7400220904043269</v>
      </c>
      <c r="AN103" s="6">
        <v>11.968499332099022</v>
      </c>
      <c r="AO103" s="6" t="s">
        <v>289</v>
      </c>
      <c r="AP103" s="6" t="s">
        <v>293</v>
      </c>
      <c r="AQ103" s="6"/>
      <c r="AR103" s="6"/>
      <c r="AS103" s="119" t="s">
        <v>393</v>
      </c>
    </row>
    <row r="104" spans="1:45" s="122" customFormat="1" ht="12.75" x14ac:dyDescent="0.2">
      <c r="A104" s="119" t="s">
        <v>128</v>
      </c>
      <c r="B104" s="119" t="s">
        <v>259</v>
      </c>
      <c r="C104" s="119">
        <v>15.09</v>
      </c>
      <c r="D104" s="125">
        <v>100.77718323354037</v>
      </c>
      <c r="E104" s="124">
        <v>1520.7276949941242</v>
      </c>
      <c r="F104" s="125">
        <v>145.74800000000005</v>
      </c>
      <c r="G104" s="124">
        <v>1374.9796949941242</v>
      </c>
      <c r="H104" s="120">
        <v>483.608</v>
      </c>
      <c r="I104" s="121">
        <v>511.22500000000002</v>
      </c>
      <c r="J104" s="121">
        <v>467.49900000000002</v>
      </c>
      <c r="K104" s="121">
        <v>493.66845652173913</v>
      </c>
      <c r="L104" s="121">
        <v>526.86304347826092</v>
      </c>
      <c r="M104" s="121">
        <v>120.71000000000001</v>
      </c>
      <c r="N104" s="121">
        <v>118.50466666666667</v>
      </c>
      <c r="O104" s="121">
        <v>128.83199999999999</v>
      </c>
      <c r="P104" s="121">
        <v>125.85714285714283</v>
      </c>
      <c r="Q104" s="3">
        <v>6.4484409367317808E-2</v>
      </c>
      <c r="R104" s="3">
        <v>8.20326483854803E-2</v>
      </c>
      <c r="S104" s="80">
        <v>5.7106168632446108E-2</v>
      </c>
      <c r="T104" s="80">
        <v>5.5977566843435245E-2</v>
      </c>
      <c r="U104" s="80">
        <v>6.724064808677932E-2</v>
      </c>
      <c r="V104" s="3">
        <v>0.85949750000000014</v>
      </c>
      <c r="W104" s="3">
        <v>0.85651083333333344</v>
      </c>
      <c r="X104" s="4">
        <v>0.21703972625998319</v>
      </c>
      <c r="Y104" s="4">
        <v>0.2305880718664339</v>
      </c>
      <c r="Z104" s="3">
        <v>0.23027327918479426</v>
      </c>
      <c r="AA104" s="88">
        <v>0.23611912562961515</v>
      </c>
      <c r="AB104" s="88">
        <v>0.24004909590865911</v>
      </c>
      <c r="AC104" s="88">
        <v>0.24452654555057204</v>
      </c>
      <c r="AD104" s="89">
        <v>0.31230592757027453</v>
      </c>
      <c r="AE104" s="89">
        <v>0.29322529426206123</v>
      </c>
      <c r="AF104" s="6">
        <v>2.6895783558983308</v>
      </c>
      <c r="AG104" s="6">
        <v>2.7852289868424593</v>
      </c>
      <c r="AH104" s="6">
        <v>2.609747850061261</v>
      </c>
      <c r="AI104" s="7">
        <v>0.47097860359172977</v>
      </c>
      <c r="AJ104" s="6">
        <v>11.390768743220313</v>
      </c>
      <c r="AK104" s="6">
        <v>11.602747247597486</v>
      </c>
      <c r="AL104" s="6">
        <v>10.672656599246494</v>
      </c>
      <c r="AM104" s="6">
        <v>1.9946652027270484</v>
      </c>
      <c r="AN104" s="6">
        <v>10.92492379677511</v>
      </c>
      <c r="AO104" s="6" t="s">
        <v>291</v>
      </c>
      <c r="AP104" s="6" t="s">
        <v>294</v>
      </c>
      <c r="AQ104" s="6"/>
      <c r="AR104" s="6" t="s">
        <v>340</v>
      </c>
      <c r="AS104" s="119" t="s">
        <v>393</v>
      </c>
    </row>
    <row r="105" spans="1:45" s="122" customFormat="1" ht="12.75" x14ac:dyDescent="0.2">
      <c r="A105" s="119" t="s">
        <v>82</v>
      </c>
      <c r="B105" s="119" t="s">
        <v>212</v>
      </c>
      <c r="C105" s="119">
        <v>5.81</v>
      </c>
      <c r="D105" s="129"/>
      <c r="E105" s="120">
        <v>453.32964816999998</v>
      </c>
      <c r="F105" s="129"/>
      <c r="G105" s="120">
        <v>426.08564816999996</v>
      </c>
      <c r="H105" s="120">
        <v>229.79</v>
      </c>
      <c r="I105" s="121">
        <v>265.46666666666664</v>
      </c>
      <c r="J105" s="121">
        <v>204.31399999999999</v>
      </c>
      <c r="K105" s="121">
        <v>238.83333333333334</v>
      </c>
      <c r="L105" s="121">
        <v>274.66666666666669</v>
      </c>
      <c r="M105" s="121">
        <v>27.580000000000002</v>
      </c>
      <c r="N105" s="121">
        <v>20.221</v>
      </c>
      <c r="O105" s="121">
        <v>21.111000000000001</v>
      </c>
      <c r="P105" s="121">
        <v>13.068</v>
      </c>
      <c r="Q105" s="3">
        <v>0.17096170732638472</v>
      </c>
      <c r="R105" s="3">
        <v>0.17337377512931645</v>
      </c>
      <c r="S105" s="80">
        <v>0.15525769905856057</v>
      </c>
      <c r="T105" s="80">
        <v>0.16895236417148785</v>
      </c>
      <c r="U105" s="80">
        <v>0.15003489183531049</v>
      </c>
      <c r="V105" s="3">
        <v>0.72475999999999996</v>
      </c>
      <c r="W105" s="3">
        <v>0.72892000000000001</v>
      </c>
      <c r="X105" s="4">
        <v>1.6191207257501745E-2</v>
      </c>
      <c r="Y105" s="4">
        <v>3.0611650485436889E-2</v>
      </c>
      <c r="Z105" s="3">
        <v>7.1017015535924113E-2</v>
      </c>
      <c r="AA105" s="4">
        <v>0.10389251632345557</v>
      </c>
      <c r="AB105" s="4">
        <v>8.4665736217725052E-2</v>
      </c>
      <c r="AC105" s="4">
        <v>7.6860436893203876E-2</v>
      </c>
      <c r="AD105" s="5">
        <v>0.24439079066524055</v>
      </c>
      <c r="AE105" s="5">
        <v>0.25915021538201616</v>
      </c>
      <c r="AF105" s="6">
        <v>1.6050438780889</v>
      </c>
      <c r="AG105" s="6">
        <v>1.7840292316957429</v>
      </c>
      <c r="AH105" s="6">
        <v>1.551282699648058</v>
      </c>
      <c r="AI105" s="7">
        <v>0.10337934207588022</v>
      </c>
      <c r="AJ105" s="6">
        <v>15.449080789340099</v>
      </c>
      <c r="AK105" s="6">
        <v>21.071442963750552</v>
      </c>
      <c r="AL105" s="6">
        <v>20.183110613897966</v>
      </c>
      <c r="AM105" s="6">
        <v>0.99506052730518491</v>
      </c>
      <c r="AN105" s="6">
        <v>32.605268455004591</v>
      </c>
      <c r="AO105" s="6" t="s">
        <v>290</v>
      </c>
      <c r="AP105" s="6" t="s">
        <v>293</v>
      </c>
      <c r="AQ105" s="6"/>
      <c r="AR105" s="6"/>
      <c r="AS105" s="119" t="s">
        <v>392</v>
      </c>
    </row>
    <row r="106" spans="1:45" s="122" customFormat="1" ht="12.75" x14ac:dyDescent="0.2">
      <c r="A106" s="119" t="s">
        <v>75</v>
      </c>
      <c r="B106" s="119" t="s">
        <v>205</v>
      </c>
      <c r="C106" s="119">
        <v>9.48</v>
      </c>
      <c r="D106" s="129"/>
      <c r="E106" s="120">
        <v>562.63182852</v>
      </c>
      <c r="F106" s="129"/>
      <c r="G106" s="120">
        <v>531.31682852000006</v>
      </c>
      <c r="H106" s="120">
        <v>443.75</v>
      </c>
      <c r="I106" s="121">
        <v>494.5454545454545</v>
      </c>
      <c r="J106" s="121">
        <v>405.90800000000002</v>
      </c>
      <c r="K106" s="121">
        <v>455.08333333333331</v>
      </c>
      <c r="L106" s="121">
        <v>508</v>
      </c>
      <c r="M106" s="121">
        <v>35.725000000000001</v>
      </c>
      <c r="N106" s="121">
        <v>35.410000000000004</v>
      </c>
      <c r="O106" s="121">
        <v>51.451000000000001</v>
      </c>
      <c r="P106" s="121">
        <v>58.6</v>
      </c>
      <c r="Q106" s="3">
        <v>0.12622030826789299</v>
      </c>
      <c r="R106" s="3">
        <v>0.13085560216308789</v>
      </c>
      <c r="S106" s="80">
        <v>0.11446862996158758</v>
      </c>
      <c r="T106" s="80">
        <v>0.12114896314764256</v>
      </c>
      <c r="U106" s="80">
        <v>0.11627906976744184</v>
      </c>
      <c r="V106" s="3">
        <v>0.78715000000000002</v>
      </c>
      <c r="W106" s="3">
        <v>0.78918999999999995</v>
      </c>
      <c r="X106" s="4">
        <v>0.10257901483244827</v>
      </c>
      <c r="Y106" s="4">
        <v>0.11354724409448819</v>
      </c>
      <c r="Z106" s="3">
        <v>7.3676619718309855E-2</v>
      </c>
      <c r="AA106" s="4">
        <v>7.2238051470588246E-2</v>
      </c>
      <c r="AB106" s="4">
        <v>7.7809924922175436E-2</v>
      </c>
      <c r="AC106" s="4">
        <v>0.10128149606299212</v>
      </c>
      <c r="AD106" s="5">
        <v>0.20453222188139775</v>
      </c>
      <c r="AE106" s="5">
        <v>0.18670668143217584</v>
      </c>
      <c r="AF106" s="6">
        <v>1.0743538811985296</v>
      </c>
      <c r="AG106" s="6">
        <v>1.1675154627797109</v>
      </c>
      <c r="AH106" s="6">
        <v>1.0458992687401576</v>
      </c>
      <c r="AI106" s="7">
        <v>9.385574733960321E-2</v>
      </c>
      <c r="AJ106" s="6">
        <v>14.872409475717285</v>
      </c>
      <c r="AK106" s="6">
        <v>15.004711339169726</v>
      </c>
      <c r="AL106" s="6">
        <v>10.326656984703893</v>
      </c>
      <c r="AM106" s="6">
        <v>1.2992563535274289</v>
      </c>
      <c r="AN106" s="6">
        <v>9.0668400771331061</v>
      </c>
      <c r="AO106" s="6" t="s">
        <v>289</v>
      </c>
      <c r="AP106" s="6" t="s">
        <v>293</v>
      </c>
      <c r="AQ106" s="6"/>
      <c r="AR106" s="6"/>
      <c r="AS106" s="119" t="s">
        <v>392</v>
      </c>
    </row>
    <row r="107" spans="1:45" s="122" customFormat="1" ht="12.75" x14ac:dyDescent="0.2">
      <c r="A107" s="119" t="s">
        <v>64</v>
      </c>
      <c r="B107" s="119" t="s">
        <v>195</v>
      </c>
      <c r="C107" s="119">
        <v>43.23</v>
      </c>
      <c r="D107" s="129"/>
      <c r="E107" s="120">
        <v>2416.0047367499997</v>
      </c>
      <c r="F107" s="129"/>
      <c r="G107" s="120">
        <v>2391.0637367499999</v>
      </c>
      <c r="H107" s="120">
        <v>564.33100000000002</v>
      </c>
      <c r="I107" s="121">
        <v>612.83333333333337</v>
      </c>
      <c r="J107" s="121">
        <v>542.37900000000002</v>
      </c>
      <c r="K107" s="121">
        <v>577.66666666666663</v>
      </c>
      <c r="L107" s="121">
        <v>617</v>
      </c>
      <c r="M107" s="121">
        <v>84.963000000000008</v>
      </c>
      <c r="N107" s="121">
        <v>88.335000000000008</v>
      </c>
      <c r="O107" s="121">
        <v>105.24300000000001</v>
      </c>
      <c r="P107" s="121">
        <v>112.91666666666664</v>
      </c>
      <c r="Q107" s="3">
        <v>0.11161466885604798</v>
      </c>
      <c r="R107" s="3">
        <v>4.7126451711065734E-2</v>
      </c>
      <c r="S107" s="80">
        <v>8.5946604622700873E-2</v>
      </c>
      <c r="T107" s="80">
        <v>6.5060901448372066E-2</v>
      </c>
      <c r="U107" s="80">
        <v>6.8090017311021489E-2</v>
      </c>
      <c r="V107" s="3">
        <v>0.46270000000000006</v>
      </c>
      <c r="W107" s="3">
        <v>0.45886000000000005</v>
      </c>
      <c r="X107" s="4">
        <v>0.16797403346797463</v>
      </c>
      <c r="Y107" s="4">
        <v>0.17288006482982171</v>
      </c>
      <c r="Z107" s="3">
        <v>0.13740340332180939</v>
      </c>
      <c r="AA107" s="4">
        <v>0.13863965189012784</v>
      </c>
      <c r="AB107" s="4">
        <v>0.15291690709751879</v>
      </c>
      <c r="AC107" s="4">
        <v>0.17057212317666129</v>
      </c>
      <c r="AD107" s="5">
        <v>0.18452985503287511</v>
      </c>
      <c r="AE107" s="5">
        <v>0.22458625651282871</v>
      </c>
      <c r="AF107" s="6">
        <v>3.9016541801740545</v>
      </c>
      <c r="AG107" s="6">
        <v>4.1391755396710908</v>
      </c>
      <c r="AH107" s="6">
        <v>3.875305894246353</v>
      </c>
      <c r="AI107" s="7">
        <v>0.45396257330955914</v>
      </c>
      <c r="AJ107" s="6">
        <v>28.142411835151769</v>
      </c>
      <c r="AK107" s="6">
        <v>27.068135356880056</v>
      </c>
      <c r="AL107" s="6">
        <v>22.719456275001658</v>
      </c>
      <c r="AM107" s="6">
        <v>3.2744064711683301</v>
      </c>
      <c r="AN107" s="6">
        <v>21.175472207380079</v>
      </c>
      <c r="AO107" s="6" t="s">
        <v>290</v>
      </c>
      <c r="AP107" s="6" t="s">
        <v>293</v>
      </c>
      <c r="AQ107" s="6"/>
      <c r="AR107" s="6"/>
      <c r="AS107" s="119" t="s">
        <v>393</v>
      </c>
    </row>
    <row r="108" spans="1:45" s="122" customFormat="1" ht="12.75" x14ac:dyDescent="0.2">
      <c r="A108" s="119" t="s">
        <v>71</v>
      </c>
      <c r="B108" s="119" t="s">
        <v>202</v>
      </c>
      <c r="C108" s="119">
        <v>6.76</v>
      </c>
      <c r="D108" s="129"/>
      <c r="E108" s="120">
        <v>1008.48165652</v>
      </c>
      <c r="F108" s="129"/>
      <c r="G108" s="120">
        <v>755.59465651999994</v>
      </c>
      <c r="H108" s="120">
        <v>428.62700000000001</v>
      </c>
      <c r="I108" s="121">
        <v>494.2</v>
      </c>
      <c r="J108" s="121">
        <v>376.815</v>
      </c>
      <c r="K108" s="121">
        <v>444.66666666666669</v>
      </c>
      <c r="L108" s="121">
        <v>510.83333333333331</v>
      </c>
      <c r="M108" s="121">
        <v>64.983999999999995</v>
      </c>
      <c r="N108" s="121">
        <v>52.058</v>
      </c>
      <c r="O108" s="121">
        <v>62.972999999999999</v>
      </c>
      <c r="P108" s="121">
        <v>66.099999999999994</v>
      </c>
      <c r="Q108" s="3">
        <v>0.15054922492557243</v>
      </c>
      <c r="R108" s="3">
        <v>0.19873198589355279</v>
      </c>
      <c r="S108" s="80">
        <v>0.15298382976340719</v>
      </c>
      <c r="T108" s="80">
        <v>0.18006625709344548</v>
      </c>
      <c r="U108" s="80">
        <v>0.1488005997001498</v>
      </c>
      <c r="V108" s="3">
        <v>0.80657000000000001</v>
      </c>
      <c r="W108" s="3">
        <v>0.81102000000000007</v>
      </c>
      <c r="X108" s="4">
        <v>5.2428035982008993E-2</v>
      </c>
      <c r="Y108" s="4">
        <v>0.11335203915171289</v>
      </c>
      <c r="Z108" s="3">
        <v>9.6811446782400556E-2</v>
      </c>
      <c r="AA108" s="4">
        <v>0.13149332254148116</v>
      </c>
      <c r="AB108" s="4">
        <v>0.117071964017991</v>
      </c>
      <c r="AC108" s="4">
        <v>0.12327504078303426</v>
      </c>
      <c r="AD108" s="5">
        <v>0.29554343267595334</v>
      </c>
      <c r="AE108" s="5">
        <v>0.28447715230488835</v>
      </c>
      <c r="AF108" s="6">
        <v>1.5289248411978955</v>
      </c>
      <c r="AG108" s="6">
        <v>1.6992383579910042</v>
      </c>
      <c r="AH108" s="6">
        <v>1.4791412525676997</v>
      </c>
      <c r="AI108" s="7">
        <v>9.994029065440517E-2</v>
      </c>
      <c r="AJ108" s="6">
        <v>11.627395305305921</v>
      </c>
      <c r="AK108" s="6">
        <v>14.514477246916899</v>
      </c>
      <c r="AL108" s="6">
        <v>11.998708280056531</v>
      </c>
      <c r="AM108" s="6">
        <v>0.76004080452737655</v>
      </c>
      <c r="AN108" s="6">
        <v>11.431084062329804</v>
      </c>
      <c r="AO108" s="6" t="s">
        <v>289</v>
      </c>
      <c r="AP108" s="6" t="s">
        <v>293</v>
      </c>
      <c r="AQ108" s="6"/>
      <c r="AR108" s="6"/>
      <c r="AS108" s="119" t="s">
        <v>392</v>
      </c>
    </row>
    <row r="109" spans="1:45" s="122" customFormat="1" ht="12.75" x14ac:dyDescent="0.2">
      <c r="A109" s="119" t="s">
        <v>81</v>
      </c>
      <c r="B109" s="119" t="s">
        <v>211</v>
      </c>
      <c r="C109" s="119">
        <v>23.05</v>
      </c>
      <c r="D109" s="129"/>
      <c r="E109" s="120">
        <v>1113.2638290000002</v>
      </c>
      <c r="F109" s="129"/>
      <c r="G109" s="120">
        <v>1266.9388290000002</v>
      </c>
      <c r="H109" s="120">
        <v>351.68200000000002</v>
      </c>
      <c r="I109" s="121">
        <v>389.58666666666664</v>
      </c>
      <c r="J109" s="121">
        <v>330.37200000000001</v>
      </c>
      <c r="K109" s="121">
        <v>361.33333333333331</v>
      </c>
      <c r="L109" s="121">
        <v>400</v>
      </c>
      <c r="M109" s="121">
        <v>53.746000000000002</v>
      </c>
      <c r="N109" s="121">
        <v>43.87</v>
      </c>
      <c r="O109" s="121">
        <v>59.618000000000002</v>
      </c>
      <c r="P109" s="121">
        <v>54.062666666666665</v>
      </c>
      <c r="Q109" s="3">
        <v>0.10851007230780407</v>
      </c>
      <c r="R109" s="3">
        <v>8.9179805938300452E-2</v>
      </c>
      <c r="S109" s="80">
        <v>0.10778108253099861</v>
      </c>
      <c r="T109" s="80">
        <v>9.3716578079659607E-2</v>
      </c>
      <c r="U109" s="80">
        <v>0.10701107011070121</v>
      </c>
      <c r="V109" s="3">
        <v>0.69342999999999999</v>
      </c>
      <c r="W109" s="3">
        <v>0.69918999999999998</v>
      </c>
      <c r="X109" s="4">
        <v>0.11093173431734318</v>
      </c>
      <c r="Y109" s="4">
        <v>0.13087499999999999</v>
      </c>
      <c r="Z109" s="3">
        <v>0.10988336053593872</v>
      </c>
      <c r="AA109" s="4">
        <v>0.13795646668263803</v>
      </c>
      <c r="AB109" s="4">
        <v>0.12141143911439115</v>
      </c>
      <c r="AC109" s="4">
        <v>0.14904500000000001</v>
      </c>
      <c r="AD109" s="5">
        <v>0.19906316647423916</v>
      </c>
      <c r="AE109" s="5">
        <v>0.24573754921363664</v>
      </c>
      <c r="AF109" s="6">
        <v>3.2520076722338209</v>
      </c>
      <c r="AG109" s="6">
        <v>3.506288272140222</v>
      </c>
      <c r="AH109" s="6">
        <v>3.1673470725000006</v>
      </c>
      <c r="AI109" s="7">
        <v>0.3017234189773999</v>
      </c>
      <c r="AJ109" s="6">
        <v>23.572709206266516</v>
      </c>
      <c r="AK109" s="6">
        <v>28.879389765215414</v>
      </c>
      <c r="AL109" s="6">
        <v>21.250944832097691</v>
      </c>
      <c r="AM109" s="6">
        <v>2.1870915241073812</v>
      </c>
      <c r="AN109" s="6">
        <v>23.434634418082723</v>
      </c>
      <c r="AO109" s="6" t="s">
        <v>290</v>
      </c>
      <c r="AP109" s="6" t="s">
        <v>293</v>
      </c>
      <c r="AQ109" s="6"/>
      <c r="AR109" s="6"/>
      <c r="AS109" s="119" t="s">
        <v>392</v>
      </c>
    </row>
    <row r="110" spans="1:45" s="122" customFormat="1" ht="12.75" x14ac:dyDescent="0.2">
      <c r="A110" s="119" t="s">
        <v>68</v>
      </c>
      <c r="B110" s="119" t="s">
        <v>199</v>
      </c>
      <c r="C110" s="119">
        <v>58.35</v>
      </c>
      <c r="D110" s="129"/>
      <c r="E110" s="120">
        <v>2990.3007275999994</v>
      </c>
      <c r="F110" s="129"/>
      <c r="G110" s="120">
        <v>3100.3627275999993</v>
      </c>
      <c r="H110" s="120">
        <v>642.779</v>
      </c>
      <c r="I110" s="121">
        <v>777</v>
      </c>
      <c r="J110" s="121">
        <v>545.529</v>
      </c>
      <c r="K110" s="121">
        <v>677.6</v>
      </c>
      <c r="L110" s="121">
        <v>814.5</v>
      </c>
      <c r="M110" s="121">
        <v>-0.68700000000000006</v>
      </c>
      <c r="N110" s="121">
        <v>-15.897</v>
      </c>
      <c r="O110" s="121">
        <v>7.9009999999999998</v>
      </c>
      <c r="P110" s="121">
        <v>35.147936507936507</v>
      </c>
      <c r="Q110" s="3">
        <v>0.27535321599457996</v>
      </c>
      <c r="R110" s="3">
        <v>0.22404251915723392</v>
      </c>
      <c r="S110" s="80">
        <v>0.20881360467594612</v>
      </c>
      <c r="T110" s="80">
        <v>0.24209712040973086</v>
      </c>
      <c r="U110" s="80">
        <v>0.20203659976387245</v>
      </c>
      <c r="V110" s="3">
        <v>0.39380999999999999</v>
      </c>
      <c r="W110" s="3">
        <v>0.39602000000000004</v>
      </c>
      <c r="X110" s="4">
        <v>-5.7331759149940965E-2</v>
      </c>
      <c r="Y110" s="4">
        <v>-2.6484258528457405E-3</v>
      </c>
      <c r="Z110" s="3">
        <v>-2.1296588718673137E-2</v>
      </c>
      <c r="AA110" s="4">
        <v>-8.841698841698842E-4</v>
      </c>
      <c r="AB110" s="4">
        <v>-2.3460743801652893E-2</v>
      </c>
      <c r="AC110" s="4">
        <v>9.7004297114794344E-3</v>
      </c>
      <c r="AD110" s="5">
        <v>0.20274593043856079</v>
      </c>
      <c r="AE110" s="5">
        <v>0.20792943479177622</v>
      </c>
      <c r="AF110" s="6">
        <v>3.9901708205920197</v>
      </c>
      <c r="AG110" s="6">
        <v>4.5755057963400221</v>
      </c>
      <c r="AH110" s="6">
        <v>3.8064612984653152</v>
      </c>
      <c r="AI110" s="7">
        <v>0.19108768448225824</v>
      </c>
      <c r="AJ110" s="6">
        <v>-4512.9006224163013</v>
      </c>
      <c r="AK110" s="6">
        <v>-195.02816428256898</v>
      </c>
      <c r="AL110" s="6">
        <v>392.4013071256802</v>
      </c>
      <c r="AM110" s="6">
        <v>-216.1210055934711</v>
      </c>
      <c r="AN110" s="6">
        <v>88.208954369196846</v>
      </c>
      <c r="AO110" s="6" t="s">
        <v>290</v>
      </c>
      <c r="AP110" s="6" t="s">
        <v>293</v>
      </c>
      <c r="AQ110" s="6"/>
      <c r="AR110" s="6"/>
      <c r="AS110" s="119" t="s">
        <v>392</v>
      </c>
    </row>
    <row r="111" spans="1:45" s="122" customFormat="1" ht="12.75" x14ac:dyDescent="0.2">
      <c r="A111" s="119" t="s">
        <v>46</v>
      </c>
      <c r="B111" s="119" t="s">
        <v>177</v>
      </c>
      <c r="C111" s="119">
        <v>48.5</v>
      </c>
      <c r="D111" s="129"/>
      <c r="E111" s="120">
        <v>4857.5991254999999</v>
      </c>
      <c r="F111" s="129"/>
      <c r="G111" s="120">
        <v>4464.3491254999999</v>
      </c>
      <c r="H111" s="120">
        <v>1499.8610000000001</v>
      </c>
      <c r="I111" s="121">
        <v>1661.8598484848483</v>
      </c>
      <c r="J111" s="121">
        <v>1462.57</v>
      </c>
      <c r="K111" s="121">
        <v>1538.0153333333333</v>
      </c>
      <c r="L111" s="121">
        <v>1714.2041467304623</v>
      </c>
      <c r="M111" s="121">
        <v>310.28100000000001</v>
      </c>
      <c r="N111" s="121">
        <v>315.33300000000003</v>
      </c>
      <c r="O111" s="121">
        <v>332.61900000000003</v>
      </c>
      <c r="P111" s="121">
        <v>293.36917016806723</v>
      </c>
      <c r="Q111" s="3">
        <v>0.10403403543032508</v>
      </c>
      <c r="R111" s="3">
        <v>0.11626866760243455</v>
      </c>
      <c r="S111" s="80">
        <v>0.10800924117958144</v>
      </c>
      <c r="T111" s="80">
        <v>5.1584083724767638E-2</v>
      </c>
      <c r="U111" s="80">
        <v>0.11455595375325411</v>
      </c>
      <c r="V111" s="3">
        <v>0.84495999999999993</v>
      </c>
      <c r="W111" s="3">
        <v>0.83915000000000006</v>
      </c>
      <c r="X111" s="4">
        <v>0.15853013771992885</v>
      </c>
      <c r="Y111" s="4">
        <v>0.17127714955070966</v>
      </c>
      <c r="Z111" s="3">
        <v>0.20881801713625464</v>
      </c>
      <c r="AA111" s="4">
        <v>0.18670708019264654</v>
      </c>
      <c r="AB111" s="4">
        <v>0.20502591434935849</v>
      </c>
      <c r="AC111" s="4">
        <v>0.19403698248800252</v>
      </c>
      <c r="AD111" s="5">
        <v>0.32508668473868918</v>
      </c>
      <c r="AE111" s="5">
        <v>0.29471632137222797</v>
      </c>
      <c r="AF111" s="6">
        <v>2.6863571736029597</v>
      </c>
      <c r="AG111" s="6">
        <v>2.9026688022832889</v>
      </c>
      <c r="AH111" s="6">
        <v>2.6043275732443809</v>
      </c>
      <c r="AI111" s="7">
        <v>0.2487154936248919</v>
      </c>
      <c r="AJ111" s="6">
        <v>14.388084109242911</v>
      </c>
      <c r="AK111" s="6">
        <v>14.157570331998235</v>
      </c>
      <c r="AL111" s="6">
        <v>13.421810316007202</v>
      </c>
      <c r="AM111" s="6">
        <v>1.3321160256390081</v>
      </c>
      <c r="AN111" s="6">
        <v>15.217512879565479</v>
      </c>
      <c r="AO111" s="6" t="s">
        <v>289</v>
      </c>
      <c r="AP111" s="6" t="s">
        <v>293</v>
      </c>
      <c r="AQ111" s="6"/>
      <c r="AR111" s="6"/>
      <c r="AS111" s="119" t="s">
        <v>392</v>
      </c>
    </row>
    <row r="112" spans="1:45" s="122" customFormat="1" ht="12.75" x14ac:dyDescent="0.2">
      <c r="A112" s="119" t="s">
        <v>127</v>
      </c>
      <c r="B112" s="119" t="s">
        <v>258</v>
      </c>
      <c r="C112" s="119">
        <v>13.47</v>
      </c>
      <c r="D112" s="129"/>
      <c r="E112" s="120">
        <v>882.02605272000017</v>
      </c>
      <c r="F112" s="129"/>
      <c r="G112" s="120">
        <v>1445.6830527200004</v>
      </c>
      <c r="H112" s="120">
        <v>858.66700000000003</v>
      </c>
      <c r="I112" s="121">
        <v>865.26482213438737</v>
      </c>
      <c r="J112" s="121">
        <v>844.00699999999995</v>
      </c>
      <c r="K112" s="121">
        <v>857.28</v>
      </c>
      <c r="L112" s="121">
        <v>870.36</v>
      </c>
      <c r="M112" s="121">
        <v>123.36</v>
      </c>
      <c r="N112" s="121">
        <v>129.767</v>
      </c>
      <c r="O112" s="121">
        <v>133.02700000000002</v>
      </c>
      <c r="P112" s="121">
        <v>156.47761904761904</v>
      </c>
      <c r="Q112" s="3">
        <v>1.5401529903938505E-2</v>
      </c>
      <c r="R112" s="3">
        <v>3.0795400797585522E-2</v>
      </c>
      <c r="S112" s="80">
        <v>7.6837960867104371E-3</v>
      </c>
      <c r="T112" s="80">
        <v>1.5726172887191803E-2</v>
      </c>
      <c r="U112" s="80">
        <v>1.525755879059365E-2</v>
      </c>
      <c r="V112" s="3">
        <v>0.73858000000000001</v>
      </c>
      <c r="W112" s="3">
        <v>0.73930000000000007</v>
      </c>
      <c r="X112" s="4">
        <v>0.15614151735722284</v>
      </c>
      <c r="Y112" s="4">
        <v>0.16295938845228794</v>
      </c>
      <c r="Z112" s="3">
        <v>0.19989355594194258</v>
      </c>
      <c r="AA112" s="4">
        <v>0.1425690688495834</v>
      </c>
      <c r="AB112" s="4">
        <v>0.15137061403508772</v>
      </c>
      <c r="AC112" s="4">
        <v>0.15284135300335494</v>
      </c>
      <c r="AD112" s="5">
        <v>0.23068895673952811</v>
      </c>
      <c r="AE112" s="5">
        <v>0.15025286493629383</v>
      </c>
      <c r="AF112" s="6">
        <v>1.6707983680116216</v>
      </c>
      <c r="AG112" s="6">
        <v>1.6863604105076526</v>
      </c>
      <c r="AH112" s="6">
        <v>1.6610173407785289</v>
      </c>
      <c r="AI112" s="7">
        <v>2.1744439195899048</v>
      </c>
      <c r="AJ112" s="6">
        <v>11.719220595979252</v>
      </c>
      <c r="AK112" s="6">
        <v>11.140606261376162</v>
      </c>
      <c r="AL112" s="6">
        <v>10.867591186150182</v>
      </c>
      <c r="AM112" s="6">
        <v>15.2518630943998</v>
      </c>
      <c r="AN112" s="6">
        <v>9.2389126414305434</v>
      </c>
      <c r="AO112" s="6" t="s">
        <v>291</v>
      </c>
      <c r="AP112" s="6" t="s">
        <v>294</v>
      </c>
      <c r="AQ112" s="6"/>
      <c r="AR112" s="6" t="s">
        <v>335</v>
      </c>
      <c r="AS112" s="119" t="s">
        <v>393</v>
      </c>
    </row>
    <row r="113" spans="1:45" s="122" customFormat="1" ht="12.75" x14ac:dyDescent="0.2">
      <c r="A113" s="119" t="s">
        <v>70</v>
      </c>
      <c r="B113" s="119" t="s">
        <v>201</v>
      </c>
      <c r="C113" s="119">
        <v>10.27</v>
      </c>
      <c r="D113" s="129"/>
      <c r="E113" s="120">
        <v>1723.8660128299998</v>
      </c>
      <c r="F113" s="129"/>
      <c r="G113" s="120">
        <v>1619.4400128299999</v>
      </c>
      <c r="H113" s="120">
        <v>590.66600000000005</v>
      </c>
      <c r="I113" s="121">
        <v>654.07142857142856</v>
      </c>
      <c r="J113" s="121">
        <v>530.101</v>
      </c>
      <c r="K113" s="121">
        <v>603.73333333333335</v>
      </c>
      <c r="L113" s="121">
        <v>673.73333333333335</v>
      </c>
      <c r="M113" s="121">
        <v>189.33</v>
      </c>
      <c r="N113" s="121">
        <v>189.33</v>
      </c>
      <c r="O113" s="121">
        <v>179.92000000000002</v>
      </c>
      <c r="P113" s="121">
        <v>232.28214285714282</v>
      </c>
      <c r="Q113" s="3">
        <v>0.15599724402372539</v>
      </c>
      <c r="R113" s="3">
        <v>0.15509290946851348</v>
      </c>
      <c r="S113" s="80">
        <v>0.10734565485643066</v>
      </c>
      <c r="T113" s="80">
        <v>0.13890246072603785</v>
      </c>
      <c r="U113" s="80">
        <v>0.11594522968197873</v>
      </c>
      <c r="V113" s="3">
        <v>0.77715000000000001</v>
      </c>
      <c r="W113" s="3">
        <v>0.7801300000000001</v>
      </c>
      <c r="X113" s="4">
        <v>0.12716707155477033</v>
      </c>
      <c r="Y113" s="4">
        <v>0.15124678408866021</v>
      </c>
      <c r="Z113" s="3">
        <v>0.27376046699826972</v>
      </c>
      <c r="AA113" s="4">
        <v>0.28946379818717921</v>
      </c>
      <c r="AB113" s="4">
        <v>0.31359871908127207</v>
      </c>
      <c r="AC113" s="4">
        <v>0.26704927765683756</v>
      </c>
      <c r="AD113" s="5">
        <v>0.42885337646678323</v>
      </c>
      <c r="AE113" s="5">
        <v>0.39680945304360987</v>
      </c>
      <c r="AF113" s="6">
        <v>2.4759375537424919</v>
      </c>
      <c r="AG113" s="6">
        <v>2.682376346339443</v>
      </c>
      <c r="AH113" s="6">
        <v>2.4036810006382345</v>
      </c>
      <c r="AI113" s="7">
        <v>0.23065093385046018</v>
      </c>
      <c r="AJ113" s="6">
        <v>8.553530939787672</v>
      </c>
      <c r="AK113" s="6">
        <v>8.553530939787672</v>
      </c>
      <c r="AL113" s="6">
        <v>9.0008893554357474</v>
      </c>
      <c r="AM113" s="6">
        <v>0.79682134793695958</v>
      </c>
      <c r="AN113" s="6">
        <v>6.9718661663371213</v>
      </c>
      <c r="AO113" s="6" t="s">
        <v>289</v>
      </c>
      <c r="AP113" s="6" t="s">
        <v>293</v>
      </c>
      <c r="AQ113" s="6"/>
      <c r="AR113" s="6"/>
      <c r="AS113" s="119" t="s">
        <v>392</v>
      </c>
    </row>
    <row r="114" spans="1:45" s="122" customFormat="1" ht="12.75" x14ac:dyDescent="0.2">
      <c r="A114" s="119" t="s">
        <v>56</v>
      </c>
      <c r="B114" s="119" t="s">
        <v>187</v>
      </c>
      <c r="C114" s="119">
        <v>17.34</v>
      </c>
      <c r="D114" s="129"/>
      <c r="E114" s="120">
        <v>4171.7833831799999</v>
      </c>
      <c r="F114" s="129"/>
      <c r="G114" s="120">
        <v>3983.4833831799997</v>
      </c>
      <c r="H114" s="120">
        <v>1224.703</v>
      </c>
      <c r="I114" s="121">
        <v>1455.4166666666667</v>
      </c>
      <c r="J114" s="121">
        <v>1005.754</v>
      </c>
      <c r="K114" s="121">
        <v>1274.9230769230769</v>
      </c>
      <c r="L114" s="121">
        <v>1540</v>
      </c>
      <c r="M114" s="121">
        <v>194.208</v>
      </c>
      <c r="N114" s="121">
        <v>157.417</v>
      </c>
      <c r="O114" s="121">
        <v>207.916</v>
      </c>
      <c r="P114" s="121">
        <v>324.10000000000002</v>
      </c>
      <c r="Q114" s="3">
        <v>0.25670996477757679</v>
      </c>
      <c r="R114" s="3">
        <v>0.35866612084965505</v>
      </c>
      <c r="S114" s="80">
        <v>0.18838336042833803</v>
      </c>
      <c r="T114" s="80">
        <v>0.26762913885808737</v>
      </c>
      <c r="U114" s="80">
        <v>0.20791601303246043</v>
      </c>
      <c r="V114" s="3">
        <v>0.61302000000000001</v>
      </c>
      <c r="W114" s="3">
        <v>0.61912</v>
      </c>
      <c r="X114" s="4">
        <v>0.15912724749607821</v>
      </c>
      <c r="Y114" s="4">
        <v>0.1843435064935065</v>
      </c>
      <c r="Z114" s="3">
        <v>0.13033608964785748</v>
      </c>
      <c r="AA114" s="4">
        <v>0.1334380761523046</v>
      </c>
      <c r="AB114" s="4">
        <v>0.12347176300229275</v>
      </c>
      <c r="AC114" s="4">
        <v>0.13501038961038961</v>
      </c>
      <c r="AD114" s="5">
        <v>0.48900221049751252</v>
      </c>
      <c r="AE114" s="5">
        <v>0.32182143658064266</v>
      </c>
      <c r="AF114" s="6">
        <v>2.7370054736993983</v>
      </c>
      <c r="AG114" s="6">
        <v>3.1244891988258718</v>
      </c>
      <c r="AH114" s="6">
        <v>2.5866775215454543</v>
      </c>
      <c r="AI114" s="7">
        <v>0.14528913102920091</v>
      </c>
      <c r="AJ114" s="6">
        <v>20.51142786692618</v>
      </c>
      <c r="AK114" s="6">
        <v>25.3052934764352</v>
      </c>
      <c r="AL114" s="6">
        <v>19.159099747878951</v>
      </c>
      <c r="AM114" s="6">
        <v>1.0888131425348913</v>
      </c>
      <c r="AN114" s="6">
        <v>12.290908309719221</v>
      </c>
      <c r="AO114" s="6" t="s">
        <v>289</v>
      </c>
      <c r="AP114" s="6" t="s">
        <v>293</v>
      </c>
      <c r="AQ114" s="6"/>
      <c r="AR114" s="6" t="s">
        <v>345</v>
      </c>
      <c r="AS114" s="119" t="s">
        <v>392</v>
      </c>
    </row>
    <row r="115" spans="1:45" s="122" customFormat="1" ht="12.75" x14ac:dyDescent="0.2">
      <c r="A115" s="119" t="s">
        <v>85</v>
      </c>
      <c r="B115" s="119" t="s">
        <v>215</v>
      </c>
      <c r="C115" s="119">
        <v>2.6</v>
      </c>
      <c r="D115" s="129"/>
      <c r="E115" s="120">
        <v>368.29632839999999</v>
      </c>
      <c r="F115" s="119"/>
      <c r="G115" s="120">
        <v>357.77432840000006</v>
      </c>
      <c r="H115" s="120">
        <v>242.27500000000001</v>
      </c>
      <c r="I115" s="121">
        <v>234.45151515151514</v>
      </c>
      <c r="J115" s="121">
        <v>252.202</v>
      </c>
      <c r="K115" s="121">
        <v>239.46153846153845</v>
      </c>
      <c r="L115" s="121">
        <v>234</v>
      </c>
      <c r="M115" s="121">
        <v>40.792999999999999</v>
      </c>
      <c r="N115" s="121">
        <v>37.472000000000001</v>
      </c>
      <c r="O115" s="121">
        <v>46.596000000000004</v>
      </c>
      <c r="P115" s="121">
        <v>66.187878787878788</v>
      </c>
      <c r="Q115" s="3">
        <v>-4.2282724851268827E-2</v>
      </c>
      <c r="R115" s="3">
        <v>-5.3043627807352965E-2</v>
      </c>
      <c r="S115" s="80">
        <v>-3.2291754611432744E-2</v>
      </c>
      <c r="T115" s="80">
        <v>-5.0516893357156367E-2</v>
      </c>
      <c r="U115" s="80">
        <v>-2.2807581111467967E-2</v>
      </c>
      <c r="V115" s="3">
        <v>0.81192000000000009</v>
      </c>
      <c r="W115" s="3">
        <v>0.80786000000000002</v>
      </c>
      <c r="X115" s="4">
        <v>0.24194282043045295</v>
      </c>
      <c r="Y115" s="4">
        <v>0.23387723387723383</v>
      </c>
      <c r="Z115" s="3">
        <v>0.14863687957899085</v>
      </c>
      <c r="AA115" s="4">
        <v>0.1739933306621515</v>
      </c>
      <c r="AB115" s="4">
        <v>0.15648442017346612</v>
      </c>
      <c r="AC115" s="4">
        <v>0.19912820512820514</v>
      </c>
      <c r="AD115" s="5">
        <v>9.5593251771637883E-2</v>
      </c>
      <c r="AE115" s="5">
        <v>0.14170157605071876</v>
      </c>
      <c r="AF115" s="6">
        <v>1.5260056142899614</v>
      </c>
      <c r="AG115" s="6">
        <v>1.494078467459043</v>
      </c>
      <c r="AH115" s="6">
        <v>1.5289501213675216</v>
      </c>
      <c r="AI115" s="7">
        <v>-0.47256819353807622</v>
      </c>
      <c r="AJ115" s="6">
        <v>8.7704833770499864</v>
      </c>
      <c r="AK115" s="6">
        <v>9.5477777647310003</v>
      </c>
      <c r="AL115" s="6">
        <v>7.6782197699373347</v>
      </c>
      <c r="AM115" s="6">
        <v>-2.7160132617708044</v>
      </c>
      <c r="AN115" s="6">
        <v>5.4054357829869071</v>
      </c>
      <c r="AO115" s="6" t="s">
        <v>290</v>
      </c>
      <c r="AP115" s="6" t="s">
        <v>293</v>
      </c>
      <c r="AQ115" s="6"/>
      <c r="AR115" s="6"/>
      <c r="AS115" s="119" t="s">
        <v>392</v>
      </c>
    </row>
    <row r="116" spans="1:45" s="122" customFormat="1" ht="12.75" x14ac:dyDescent="0.2">
      <c r="A116" s="119" t="s">
        <v>78</v>
      </c>
      <c r="B116" s="119" t="s">
        <v>208</v>
      </c>
      <c r="C116" s="119">
        <v>8.2799999999999994</v>
      </c>
      <c r="D116" s="129"/>
      <c r="E116" s="120">
        <v>1020.4006791599999</v>
      </c>
      <c r="F116" s="119"/>
      <c r="G116" s="120">
        <v>1026.8146791599997</v>
      </c>
      <c r="H116" s="120">
        <v>449.65699999999998</v>
      </c>
      <c r="I116" s="121">
        <v>458</v>
      </c>
      <c r="J116" s="121">
        <v>420.95699999999999</v>
      </c>
      <c r="K116" s="121">
        <v>449.93374999999997</v>
      </c>
      <c r="L116" s="121">
        <v>466.97826086956519</v>
      </c>
      <c r="M116" s="121" t="s">
        <v>398</v>
      </c>
      <c r="N116" s="121" t="s">
        <v>398</v>
      </c>
      <c r="O116" s="121" t="s">
        <v>398</v>
      </c>
      <c r="P116" s="121">
        <v>110.29999999999998</v>
      </c>
      <c r="Q116" s="3">
        <v>0.15535260044745458</v>
      </c>
      <c r="R116" s="3">
        <v>0.13507325544998336</v>
      </c>
      <c r="S116" s="80">
        <v>1.8554142379636041E-2</v>
      </c>
      <c r="T116" s="80">
        <v>6.8835415493744057E-2</v>
      </c>
      <c r="U116" s="80">
        <v>3.7882267932924041E-2</v>
      </c>
      <c r="V116" s="3">
        <v>0.76205833333333328</v>
      </c>
      <c r="W116" s="3">
        <v>0.76675833333333332</v>
      </c>
      <c r="X116" s="4">
        <v>0.17791798092013789</v>
      </c>
      <c r="Y116" s="4">
        <v>0.16153499992241208</v>
      </c>
      <c r="Z116" s="3">
        <v>0.14823521039370005</v>
      </c>
      <c r="AA116" s="4" t="e">
        <v>#VALUE!</v>
      </c>
      <c r="AB116" s="4" t="e">
        <v>#VALUE!</v>
      </c>
      <c r="AC116" s="4" t="e">
        <v>#VALUE!</v>
      </c>
      <c r="AD116" s="5">
        <v>0.28330846584368341</v>
      </c>
      <c r="AE116" s="5" t="e">
        <v>#VALUE!</v>
      </c>
      <c r="AF116" s="6">
        <v>2.2419534479475978</v>
      </c>
      <c r="AG116" s="6">
        <v>2.2821463807949498</v>
      </c>
      <c r="AH116" s="6">
        <v>2.1988489940580043</v>
      </c>
      <c r="AI116" s="7">
        <v>1.2083304105762587</v>
      </c>
      <c r="AJ116" s="6" t="e">
        <v>#VALUE!</v>
      </c>
      <c r="AK116" s="6" t="e">
        <v>#VALUE!</v>
      </c>
      <c r="AL116" s="6" t="e">
        <v>#VALUE!</v>
      </c>
      <c r="AM116" s="6" t="e">
        <v>#VALUE!</v>
      </c>
      <c r="AN116" s="6">
        <v>9.3092899289211228</v>
      </c>
      <c r="AO116" s="6" t="s">
        <v>289</v>
      </c>
      <c r="AP116" s="6" t="s">
        <v>293</v>
      </c>
      <c r="AQ116" s="6"/>
      <c r="AR116" s="6"/>
      <c r="AS116" s="119" t="s">
        <v>392</v>
      </c>
    </row>
    <row r="117" spans="1:45" s="122" customFormat="1" ht="12.75" x14ac:dyDescent="0.2">
      <c r="A117" s="119" t="s">
        <v>83</v>
      </c>
      <c r="B117" s="119" t="s">
        <v>213</v>
      </c>
      <c r="C117" s="119">
        <v>7.14</v>
      </c>
      <c r="D117" s="129"/>
      <c r="E117" s="120">
        <v>591.40211591999991</v>
      </c>
      <c r="F117" s="119"/>
      <c r="G117" s="120">
        <v>567.26511591999997</v>
      </c>
      <c r="H117" s="120">
        <v>275.42899999999997</v>
      </c>
      <c r="I117" s="121">
        <v>318.01111111111112</v>
      </c>
      <c r="J117" s="121">
        <v>249.91300000000001</v>
      </c>
      <c r="K117" s="121">
        <v>286.5555555555556</v>
      </c>
      <c r="L117" s="121">
        <v>328</v>
      </c>
      <c r="M117" s="121">
        <v>18.068999999999999</v>
      </c>
      <c r="N117" s="121">
        <v>10.882</v>
      </c>
      <c r="O117" s="121">
        <v>22.903000000000002</v>
      </c>
      <c r="P117" s="121">
        <v>19.010000000000002</v>
      </c>
      <c r="Q117" s="3">
        <v>0.10944720045744671</v>
      </c>
      <c r="R117" s="3">
        <v>0.14247493580995593</v>
      </c>
      <c r="S117" s="80">
        <v>0.1546028599425302</v>
      </c>
      <c r="T117" s="80">
        <v>0.14662124641597507</v>
      </c>
      <c r="U117" s="80">
        <v>0.14462970143466447</v>
      </c>
      <c r="V117" s="3">
        <v>0.80441000000000007</v>
      </c>
      <c r="W117" s="3">
        <v>0.80696000000000001</v>
      </c>
      <c r="X117" s="4">
        <v>3.1756494765412945E-2</v>
      </c>
      <c r="Y117" s="4">
        <v>5.8975609756097565E-2</v>
      </c>
      <c r="Z117" s="3">
        <v>0.11501602557690077</v>
      </c>
      <c r="AA117" s="4">
        <v>5.6818769435030218E-2</v>
      </c>
      <c r="AB117" s="4">
        <v>3.7975184179914689E-2</v>
      </c>
      <c r="AC117" s="4">
        <v>6.9826219512195128E-2</v>
      </c>
      <c r="AD117" s="5">
        <v>0.25749096138685668</v>
      </c>
      <c r="AE117" s="5">
        <v>0.21142162937756043</v>
      </c>
      <c r="AF117" s="6">
        <v>1.7837902390831906</v>
      </c>
      <c r="AG117" s="6">
        <v>1.9795990861884447</v>
      </c>
      <c r="AH117" s="6">
        <v>1.7294668168292682</v>
      </c>
      <c r="AI117" s="7">
        <v>0.11537886425556879</v>
      </c>
      <c r="AJ117" s="6">
        <v>31.394383525374952</v>
      </c>
      <c r="AK117" s="6">
        <v>52.128755368498439</v>
      </c>
      <c r="AL117" s="6">
        <v>24.76815770510413</v>
      </c>
      <c r="AM117" s="6">
        <v>2.030647009831839</v>
      </c>
      <c r="AN117" s="6">
        <v>29.840353283534977</v>
      </c>
      <c r="AO117" s="6" t="s">
        <v>290</v>
      </c>
      <c r="AP117" s="6" t="s">
        <v>293</v>
      </c>
      <c r="AQ117" s="6"/>
      <c r="AR117" s="6"/>
      <c r="AS117" s="119" t="s">
        <v>392</v>
      </c>
    </row>
    <row r="118" spans="1:45" s="122" customFormat="1" ht="12.75" x14ac:dyDescent="0.2">
      <c r="A118" s="119" t="s">
        <v>73</v>
      </c>
      <c r="B118" s="119" t="s">
        <v>204</v>
      </c>
      <c r="C118" s="119">
        <v>12.86</v>
      </c>
      <c r="D118" s="129"/>
      <c r="E118" s="120">
        <v>1713.2407455799998</v>
      </c>
      <c r="F118" s="119"/>
      <c r="G118" s="120">
        <v>1584.5447455799999</v>
      </c>
      <c r="H118" s="120">
        <v>690.59</v>
      </c>
      <c r="I118" s="121">
        <v>757.57777777777778</v>
      </c>
      <c r="J118" s="121">
        <v>627.399</v>
      </c>
      <c r="K118" s="121">
        <v>707.5454545454545</v>
      </c>
      <c r="L118" s="121">
        <v>773.90909090909088</v>
      </c>
      <c r="M118" s="121">
        <v>139.09700000000001</v>
      </c>
      <c r="N118" s="121">
        <v>108.821</v>
      </c>
      <c r="O118" s="121">
        <v>155.786</v>
      </c>
      <c r="P118" s="121">
        <v>195.90952380952379</v>
      </c>
      <c r="Q118" s="3">
        <v>0.15197820272968121</v>
      </c>
      <c r="R118" s="3">
        <v>0.12278277269253884</v>
      </c>
      <c r="S118" s="80">
        <v>9.7000793202591584E-2</v>
      </c>
      <c r="T118" s="80">
        <v>0.12774399472338094</v>
      </c>
      <c r="U118" s="80">
        <v>9.3794166773737642E-2</v>
      </c>
      <c r="V118" s="3">
        <v>0.81203000000000003</v>
      </c>
      <c r="W118" s="3">
        <v>0.81542000000000003</v>
      </c>
      <c r="X118" s="4">
        <v>0.22472054477707826</v>
      </c>
      <c r="Y118" s="4">
        <v>0.24253494655233176</v>
      </c>
      <c r="Z118" s="3">
        <v>0.15956935374100406</v>
      </c>
      <c r="AA118" s="4">
        <v>0.18360755037986567</v>
      </c>
      <c r="AB118" s="4">
        <v>0.15380071951689581</v>
      </c>
      <c r="AC118" s="4">
        <v>0.20129754493128157</v>
      </c>
      <c r="AD118" s="5">
        <v>0.2823521264335429</v>
      </c>
      <c r="AE118" s="5">
        <v>0.28060834358245723</v>
      </c>
      <c r="AF118" s="6">
        <v>2.0915934865829691</v>
      </c>
      <c r="AG118" s="6">
        <v>2.2394953361660028</v>
      </c>
      <c r="AH118" s="6">
        <v>2.0474559146458358</v>
      </c>
      <c r="AI118" s="7">
        <v>0.21562643124108882</v>
      </c>
      <c r="AJ118" s="6">
        <v>11.391652915447493</v>
      </c>
      <c r="AK118" s="6">
        <v>14.561019891197471</v>
      </c>
      <c r="AL118" s="6">
        <v>10.171291037577189</v>
      </c>
      <c r="AM118" s="6">
        <v>1.1743876044039545</v>
      </c>
      <c r="AN118" s="6">
        <v>8.0881455621350966</v>
      </c>
      <c r="AO118" s="6" t="s">
        <v>289</v>
      </c>
      <c r="AP118" s="6" t="s">
        <v>293</v>
      </c>
      <c r="AQ118" s="6"/>
      <c r="AR118" s="6"/>
      <c r="AS118" s="119" t="s">
        <v>392</v>
      </c>
    </row>
    <row r="119" spans="1:45" s="122" customFormat="1" ht="12.75" x14ac:dyDescent="0.2">
      <c r="A119" s="119" t="s">
        <v>84</v>
      </c>
      <c r="B119" s="119" t="s">
        <v>214</v>
      </c>
      <c r="C119" s="119">
        <v>11.48</v>
      </c>
      <c r="D119" s="129"/>
      <c r="E119" s="120">
        <v>473.33447447999998</v>
      </c>
      <c r="F119" s="119"/>
      <c r="G119" s="120">
        <v>563.37147447999996</v>
      </c>
      <c r="H119" s="120">
        <v>318.363</v>
      </c>
      <c r="I119" s="121">
        <v>320.51666666666665</v>
      </c>
      <c r="J119" s="121">
        <v>317.04399999999998</v>
      </c>
      <c r="K119" s="121">
        <v>317.93954347826087</v>
      </c>
      <c r="L119" s="121">
        <v>325.40869565217395</v>
      </c>
      <c r="M119" s="121">
        <v>34.294000000000004</v>
      </c>
      <c r="N119" s="121">
        <v>7.9886666666666661</v>
      </c>
      <c r="O119" s="121">
        <v>12.507666666666669</v>
      </c>
      <c r="P119" s="121">
        <v>24.41</v>
      </c>
      <c r="Q119" s="3">
        <v>1.6720445878556811E-2</v>
      </c>
      <c r="R119" s="3">
        <v>-1.8846055991543794E-5</v>
      </c>
      <c r="S119" s="80">
        <v>6.7648145879597443E-3</v>
      </c>
      <c r="T119" s="80">
        <v>2.8246662238076148E-3</v>
      </c>
      <c r="U119" s="80">
        <v>2.3492366165593914E-2</v>
      </c>
      <c r="V119" s="3">
        <v>0.75932558666666683</v>
      </c>
      <c r="W119" s="3">
        <v>0.76418083333333342</v>
      </c>
      <c r="X119" s="4">
        <v>4.348206113471987E-2</v>
      </c>
      <c r="Y119" s="4">
        <v>6.4040493114567179E-2</v>
      </c>
      <c r="Z119" s="3">
        <v>-2.3413524812870845E-2</v>
      </c>
      <c r="AA119" s="4">
        <v>0.10699599604804744</v>
      </c>
      <c r="AB119" s="4">
        <v>2.5126370187459526E-2</v>
      </c>
      <c r="AC119" s="4">
        <v>3.8436792973830014E-2</v>
      </c>
      <c r="AD119" s="5">
        <v>-2.3432370868862389E-2</v>
      </c>
      <c r="AE119" s="5">
        <v>0.11376081063600718</v>
      </c>
      <c r="AF119" s="6">
        <v>1.757697908002704</v>
      </c>
      <c r="AG119" s="6">
        <v>1.7719452834231062</v>
      </c>
      <c r="AH119" s="6">
        <v>1.7312735707658593</v>
      </c>
      <c r="AI119" s="7">
        <v>2.5982942845634183</v>
      </c>
      <c r="AJ119" s="6">
        <v>16.427697978655154</v>
      </c>
      <c r="AK119" s="6">
        <v>70.521339541016445</v>
      </c>
      <c r="AL119" s="6">
        <v>45.0420921418863</v>
      </c>
      <c r="AM119" s="6">
        <v>24.284032866020823</v>
      </c>
      <c r="AN119" s="6">
        <v>23.079536029496108</v>
      </c>
      <c r="AO119" s="6" t="s">
        <v>289</v>
      </c>
      <c r="AP119" s="6" t="s">
        <v>293</v>
      </c>
      <c r="AQ119" s="6"/>
      <c r="AR119" s="6"/>
      <c r="AS119" s="119" t="s">
        <v>392</v>
      </c>
    </row>
    <row r="120" spans="1:45" s="122" customFormat="1" ht="12.75" x14ac:dyDescent="0.2">
      <c r="A120" s="119" t="s">
        <v>62</v>
      </c>
      <c r="B120" s="119" t="s">
        <v>193</v>
      </c>
      <c r="C120" s="119">
        <v>18.59</v>
      </c>
      <c r="D120" s="129"/>
      <c r="E120" s="120">
        <v>1454.0364066799998</v>
      </c>
      <c r="F120" s="119"/>
      <c r="G120" s="120">
        <v>1575.8864066799999</v>
      </c>
      <c r="H120" s="120">
        <v>1127.4659999999999</v>
      </c>
      <c r="I120" s="121">
        <v>1219.8095238095236</v>
      </c>
      <c r="J120" s="121">
        <v>1041.9380000000001</v>
      </c>
      <c r="K120" s="121">
        <v>1147.1818181818182</v>
      </c>
      <c r="L120" s="121">
        <v>1254.3181818181818</v>
      </c>
      <c r="M120" s="121">
        <v>154.03700000000001</v>
      </c>
      <c r="N120" s="121">
        <v>129.691</v>
      </c>
      <c r="O120" s="121">
        <v>176.93600000000001</v>
      </c>
      <c r="P120" s="121">
        <v>284.96666666666664</v>
      </c>
      <c r="Q120" s="3">
        <v>8.195107918026201E-2</v>
      </c>
      <c r="R120" s="3">
        <v>0.12483388870044106</v>
      </c>
      <c r="S120" s="80">
        <v>8.1903599584842279E-2</v>
      </c>
      <c r="T120" s="80">
        <v>0.10100775495453496</v>
      </c>
      <c r="U120" s="80">
        <v>9.339091845629599E-2</v>
      </c>
      <c r="V120" s="3">
        <v>0.61970999999999998</v>
      </c>
      <c r="W120" s="3">
        <v>0.62243999999999999</v>
      </c>
      <c r="X120" s="4">
        <v>0.18383214024707009</v>
      </c>
      <c r="Y120" s="4">
        <v>0.19386388838557711</v>
      </c>
      <c r="Z120" s="3">
        <v>0.145851848304073</v>
      </c>
      <c r="AA120" s="4">
        <v>0.1262795518425984</v>
      </c>
      <c r="AB120" s="4">
        <v>0.11305182661066646</v>
      </c>
      <c r="AC120" s="4">
        <v>0.14106149664794349</v>
      </c>
      <c r="AD120" s="5">
        <v>0.27068573700451404</v>
      </c>
      <c r="AE120" s="5">
        <v>0.20818315142744068</v>
      </c>
      <c r="AF120" s="6">
        <v>1.2919118730590258</v>
      </c>
      <c r="AG120" s="6">
        <v>1.3737023911149853</v>
      </c>
      <c r="AH120" s="6">
        <v>1.2563689417271244</v>
      </c>
      <c r="AI120" s="7">
        <v>0.15773566480686363</v>
      </c>
      <c r="AJ120" s="6">
        <v>10.230570620565189</v>
      </c>
      <c r="AK120" s="6">
        <v>12.151085323422596</v>
      </c>
      <c r="AL120" s="6">
        <v>8.9065334735723649</v>
      </c>
      <c r="AM120" s="6">
        <v>1.2490990228051635</v>
      </c>
      <c r="AN120" s="6">
        <v>5.530072780488946</v>
      </c>
      <c r="AO120" s="6" t="s">
        <v>289</v>
      </c>
      <c r="AP120" s="6" t="s">
        <v>293</v>
      </c>
      <c r="AQ120" s="6"/>
      <c r="AR120" s="6"/>
      <c r="AS120" s="119" t="s">
        <v>392</v>
      </c>
    </row>
    <row r="121" spans="1:45" s="122" customFormat="1" ht="12.75" x14ac:dyDescent="0.2">
      <c r="A121" s="119" t="s">
        <v>65</v>
      </c>
      <c r="B121" s="119" t="s">
        <v>196</v>
      </c>
      <c r="C121" s="119">
        <v>9.41</v>
      </c>
      <c r="D121" s="129"/>
      <c r="E121" s="120">
        <v>1668.1131277799998</v>
      </c>
      <c r="F121" s="119"/>
      <c r="G121" s="120">
        <v>1445.6351277799997</v>
      </c>
      <c r="H121" s="120">
        <v>727.48299999999995</v>
      </c>
      <c r="I121" s="121">
        <v>794.90476190476193</v>
      </c>
      <c r="J121" s="121">
        <v>681.88099999999997</v>
      </c>
      <c r="K121" s="121">
        <v>748.77777777777783</v>
      </c>
      <c r="L121" s="121">
        <v>807</v>
      </c>
      <c r="M121" s="121">
        <v>155.25800000000001</v>
      </c>
      <c r="N121" s="121">
        <v>144.22800000000001</v>
      </c>
      <c r="O121" s="121">
        <v>164.251</v>
      </c>
      <c r="P121" s="121">
        <v>191.48392857142855</v>
      </c>
      <c r="Q121" s="3">
        <v>0.12787145831232682</v>
      </c>
      <c r="R121" s="3">
        <v>7.1659217663124469E-2</v>
      </c>
      <c r="S121" s="80">
        <v>9.2678127055562776E-2</v>
      </c>
      <c r="T121" s="80">
        <v>9.8106235219602711E-2</v>
      </c>
      <c r="U121" s="80">
        <v>7.7756343671167683E-2</v>
      </c>
      <c r="V121" s="3">
        <v>0.66064999999999996</v>
      </c>
      <c r="W121" s="3">
        <v>0.67676000000000003</v>
      </c>
      <c r="X121" s="4">
        <v>2.2892862442498888E-2</v>
      </c>
      <c r="Y121" s="4">
        <v>8.9380421313506823E-3</v>
      </c>
      <c r="Z121" s="3">
        <v>0.21416720390717031</v>
      </c>
      <c r="AA121" s="4">
        <v>0.19531647996166057</v>
      </c>
      <c r="AB121" s="4">
        <v>0.19261789583024189</v>
      </c>
      <c r="AC121" s="4">
        <v>0.20353283767038413</v>
      </c>
      <c r="AD121" s="5">
        <v>0.28582642157029481</v>
      </c>
      <c r="AE121" s="5">
        <v>0.28799460701722335</v>
      </c>
      <c r="AF121" s="6">
        <v>1.8186268306104352</v>
      </c>
      <c r="AG121" s="6">
        <v>1.9306597640629168</v>
      </c>
      <c r="AH121" s="6">
        <v>1.7913694272366787</v>
      </c>
      <c r="AI121" s="7">
        <v>0.19623042549404612</v>
      </c>
      <c r="AJ121" s="6">
        <v>9.3111796350590605</v>
      </c>
      <c r="AK121" s="6">
        <v>10.02326266591785</v>
      </c>
      <c r="AL121" s="6">
        <v>8.8013779385209201</v>
      </c>
      <c r="AM121" s="6">
        <v>1.0046793057737111</v>
      </c>
      <c r="AN121" s="6">
        <v>7.5496420956327919</v>
      </c>
      <c r="AO121" s="6" t="s">
        <v>290</v>
      </c>
      <c r="AP121" s="6" t="s">
        <v>293</v>
      </c>
      <c r="AQ121" s="6"/>
      <c r="AR121" s="6"/>
      <c r="AS121" s="119" t="s">
        <v>392</v>
      </c>
    </row>
    <row r="122" spans="1:45" s="122" customFormat="1" ht="12.75" x14ac:dyDescent="0.2">
      <c r="A122" s="119" t="s">
        <v>61</v>
      </c>
      <c r="B122" s="119" t="s">
        <v>192</v>
      </c>
      <c r="C122" s="119">
        <v>7.01</v>
      </c>
      <c r="D122" s="129"/>
      <c r="E122" s="120">
        <v>1811.5868203299997</v>
      </c>
      <c r="F122" s="119"/>
      <c r="G122" s="120">
        <v>1385.8078203299997</v>
      </c>
      <c r="H122" s="120">
        <v>820.76800000000003</v>
      </c>
      <c r="I122" s="121">
        <v>856</v>
      </c>
      <c r="J122" s="121">
        <v>796.39400000000001</v>
      </c>
      <c r="K122" s="121">
        <v>835.23113043478259</v>
      </c>
      <c r="L122" s="121">
        <v>875.88800465838506</v>
      </c>
      <c r="M122" s="121">
        <v>95.52</v>
      </c>
      <c r="N122" s="121">
        <v>128.15033333333332</v>
      </c>
      <c r="O122" s="121">
        <v>128.80166666666668</v>
      </c>
      <c r="P122" s="121">
        <v>139.88333333333335</v>
      </c>
      <c r="Q122" s="3">
        <v>7.5209930631617405E-2</v>
      </c>
      <c r="R122" s="3">
        <v>6.0837691192170348E-2</v>
      </c>
      <c r="S122" s="80">
        <v>4.2925650122811687E-2</v>
      </c>
      <c r="T122" s="80">
        <v>4.8766226810827984E-2</v>
      </c>
      <c r="U122" s="80">
        <v>4.8677393289254356E-2</v>
      </c>
      <c r="V122" s="3">
        <v>0.68983249999999996</v>
      </c>
      <c r="W122" s="3">
        <v>0.68815333333333339</v>
      </c>
      <c r="X122" s="4">
        <v>0.15530711033939612</v>
      </c>
      <c r="Y122" s="4">
        <v>0.15734698112127407</v>
      </c>
      <c r="Z122" s="3">
        <v>0.15923500916215058</v>
      </c>
      <c r="AA122" s="4">
        <v>0.11158878504672896</v>
      </c>
      <c r="AB122" s="4">
        <v>0.15343098295034119</v>
      </c>
      <c r="AC122" s="4">
        <v>0.14705266653001153</v>
      </c>
      <c r="AD122" s="5">
        <v>0.22007270035432092</v>
      </c>
      <c r="AE122" s="5">
        <v>0.15451443516954066</v>
      </c>
      <c r="AF122" s="6">
        <v>1.6189343695443921</v>
      </c>
      <c r="AG122" s="6">
        <v>1.6591908153718031</v>
      </c>
      <c r="AH122" s="6">
        <v>1.5821746763965494</v>
      </c>
      <c r="AI122" s="7">
        <v>0.37714847996770418</v>
      </c>
      <c r="AJ122" s="6">
        <v>14.508038320037686</v>
      </c>
      <c r="AK122" s="6">
        <v>10.813922869208298</v>
      </c>
      <c r="AL122" s="6">
        <v>10.759238262936552</v>
      </c>
      <c r="AM122" s="6">
        <v>3.3798063112683709</v>
      </c>
      <c r="AN122" s="6">
        <v>9.9068830239246957</v>
      </c>
      <c r="AO122" s="6" t="s">
        <v>289</v>
      </c>
      <c r="AP122" s="6" t="s">
        <v>293</v>
      </c>
      <c r="AQ122" s="6"/>
      <c r="AR122" s="6" t="s">
        <v>360</v>
      </c>
      <c r="AS122" s="119" t="s">
        <v>392</v>
      </c>
    </row>
    <row r="123" spans="1:45" s="122" customFormat="1" ht="12.75" x14ac:dyDescent="0.2">
      <c r="A123" s="119" t="s">
        <v>129</v>
      </c>
      <c r="B123" s="119" t="s">
        <v>260</v>
      </c>
      <c r="C123" s="119">
        <v>10.49</v>
      </c>
      <c r="D123" s="129"/>
      <c r="E123" s="120">
        <v>1567.2060000000001</v>
      </c>
      <c r="F123" s="119"/>
      <c r="G123" s="120">
        <v>1633.2020000000002</v>
      </c>
      <c r="H123" s="120">
        <v>591.98500000000001</v>
      </c>
      <c r="I123" s="121">
        <v>654.79999999999995</v>
      </c>
      <c r="J123" s="121">
        <v>543.67600000000004</v>
      </c>
      <c r="K123" s="121">
        <v>612.70000000000005</v>
      </c>
      <c r="L123" s="121">
        <v>667.8</v>
      </c>
      <c r="M123" s="121">
        <v>29.967000000000002</v>
      </c>
      <c r="N123" s="121">
        <v>28.434000000000001</v>
      </c>
      <c r="O123" s="121">
        <v>34.654000000000003</v>
      </c>
      <c r="P123" s="121">
        <v>72.677571428571426</v>
      </c>
      <c r="Q123" s="3">
        <v>0.1531784324300689</v>
      </c>
      <c r="R123" s="3">
        <v>9.4497054766914251E-2</v>
      </c>
      <c r="S123" s="80">
        <v>0.10610910749427771</v>
      </c>
      <c r="T123" s="80">
        <v>0.12695796761306366</v>
      </c>
      <c r="U123" s="80">
        <v>8.9929818834665998E-2</v>
      </c>
      <c r="V123" s="3">
        <v>0.60253999999999996</v>
      </c>
      <c r="W123" s="3">
        <v>0.60929999999999995</v>
      </c>
      <c r="X123" s="4">
        <v>1.8119797617104617E-2</v>
      </c>
      <c r="Y123" s="4">
        <v>3.7900569032644507E-2</v>
      </c>
      <c r="Z123" s="3">
        <v>9.0809733354730249E-2</v>
      </c>
      <c r="AA123" s="4">
        <v>4.5765119120342097E-2</v>
      </c>
      <c r="AB123" s="4">
        <v>4.640770360698547E-2</v>
      </c>
      <c r="AC123" s="4">
        <v>5.1892782270140769E-2</v>
      </c>
      <c r="AD123" s="5">
        <v>0.1853067881216445</v>
      </c>
      <c r="AE123" s="5">
        <v>0.1518742266146198</v>
      </c>
      <c r="AF123" s="6">
        <v>2.4941997556505808</v>
      </c>
      <c r="AG123" s="6">
        <v>2.6655818508242208</v>
      </c>
      <c r="AH123" s="6">
        <v>2.4456454028152148</v>
      </c>
      <c r="AI123" s="7">
        <v>0.23505991281522079</v>
      </c>
      <c r="AJ123" s="6">
        <v>54.500016685020192</v>
      </c>
      <c r="AK123" s="6">
        <v>57.438348456073719</v>
      </c>
      <c r="AL123" s="6">
        <v>47.128816298262826</v>
      </c>
      <c r="AM123" s="6">
        <v>5.1362242103449312</v>
      </c>
      <c r="AN123" s="6">
        <v>22.471884625439568</v>
      </c>
      <c r="AO123" s="6" t="s">
        <v>291</v>
      </c>
      <c r="AP123" s="6" t="s">
        <v>294</v>
      </c>
      <c r="AQ123" s="6"/>
      <c r="AR123" s="6"/>
      <c r="AS123" s="119" t="s">
        <v>393</v>
      </c>
    </row>
    <row r="124" spans="1:45" s="122" customFormat="1" ht="12.75" x14ac:dyDescent="0.2">
      <c r="A124" s="119" t="s">
        <v>86</v>
      </c>
      <c r="B124" s="119" t="s">
        <v>217</v>
      </c>
      <c r="C124" s="119">
        <v>1.58</v>
      </c>
      <c r="D124" s="129"/>
      <c r="E124" s="120">
        <v>247.00796806000002</v>
      </c>
      <c r="F124" s="119"/>
      <c r="G124" s="120">
        <v>210.68296806000004</v>
      </c>
      <c r="H124" s="120">
        <v>180.92099999999999</v>
      </c>
      <c r="I124" s="121">
        <v>179.5333333333333</v>
      </c>
      <c r="J124" s="121">
        <v>178.71700000000001</v>
      </c>
      <c r="K124" s="121">
        <v>181</v>
      </c>
      <c r="L124" s="121">
        <v>183</v>
      </c>
      <c r="M124" s="121">
        <v>14.1</v>
      </c>
      <c r="N124" s="121">
        <v>11.700000000000001</v>
      </c>
      <c r="O124" s="121">
        <v>16.399999999999999</v>
      </c>
      <c r="P124" s="121">
        <v>18.496666666666666</v>
      </c>
      <c r="Q124" s="3">
        <v>-9.6850660345412232E-3</v>
      </c>
      <c r="R124" s="3">
        <v>1.8791107306964691E-2</v>
      </c>
      <c r="S124" s="80">
        <v>-7.6700143524891518E-3</v>
      </c>
      <c r="T124" s="80">
        <v>1.2774386320271613E-2</v>
      </c>
      <c r="U124" s="80">
        <v>1.1049723756906049E-2</v>
      </c>
      <c r="V124" s="3">
        <v>0.69700000000000006</v>
      </c>
      <c r="W124" s="3">
        <v>0.71150000000000002</v>
      </c>
      <c r="X124" s="4">
        <v>1.1408839779005524E-2</v>
      </c>
      <c r="Y124" s="4">
        <v>3.2923497267759567E-2</v>
      </c>
      <c r="Z124" s="3">
        <v>8.0543441612637545E-2</v>
      </c>
      <c r="AA124" s="4">
        <v>7.8536947642034921E-2</v>
      </c>
      <c r="AB124" s="4">
        <v>6.4640883977900562E-2</v>
      </c>
      <c r="AC124" s="4">
        <v>8.9617486338797805E-2</v>
      </c>
      <c r="AD124" s="5">
        <v>9.9334548919602236E-2</v>
      </c>
      <c r="AE124" s="5">
        <v>7.0866933289545769E-2</v>
      </c>
      <c r="AF124" s="6">
        <v>1.1735033497586338</v>
      </c>
      <c r="AG124" s="6">
        <v>1.1639942986740333</v>
      </c>
      <c r="AH124" s="6">
        <v>1.1512730495081969</v>
      </c>
      <c r="AI124" s="7">
        <v>-1.529988466550648</v>
      </c>
      <c r="AJ124" s="6">
        <v>14.942054472340429</v>
      </c>
      <c r="AK124" s="6">
        <v>18.007091287179488</v>
      </c>
      <c r="AL124" s="6">
        <v>12.846522442682931</v>
      </c>
      <c r="AM124" s="6">
        <v>-19.481129741942766</v>
      </c>
      <c r="AN124" s="6">
        <v>11.390320853847543</v>
      </c>
      <c r="AO124" s="6" t="s">
        <v>289</v>
      </c>
      <c r="AP124" s="6" t="s">
        <v>293</v>
      </c>
      <c r="AQ124" s="6"/>
      <c r="AR124" s="6"/>
      <c r="AS124" s="119" t="s">
        <v>392</v>
      </c>
    </row>
    <row r="125" spans="1:45" s="122" customFormat="1" ht="12.75" x14ac:dyDescent="0.2">
      <c r="A125" s="119" t="s">
        <v>59</v>
      </c>
      <c r="B125" s="119" t="s">
        <v>190</v>
      </c>
      <c r="C125" s="119">
        <v>26.14</v>
      </c>
      <c r="D125" s="129"/>
      <c r="E125" s="120">
        <v>2262.8016501000002</v>
      </c>
      <c r="F125" s="119"/>
      <c r="G125" s="120">
        <v>3612.3566501</v>
      </c>
      <c r="H125" s="120">
        <v>2485.6210000000001</v>
      </c>
      <c r="I125" s="121">
        <v>2599.6654411764707</v>
      </c>
      <c r="J125" s="121">
        <v>2400.395</v>
      </c>
      <c r="K125" s="121">
        <v>2514.1666666666665</v>
      </c>
      <c r="L125" s="121">
        <v>2626.7777777777778</v>
      </c>
      <c r="M125" s="121">
        <v>525.21100000000001</v>
      </c>
      <c r="N125" s="121">
        <v>527.35300000000007</v>
      </c>
      <c r="O125" s="121">
        <v>546.03899999999999</v>
      </c>
      <c r="P125" s="121">
        <v>692.43636363636358</v>
      </c>
      <c r="Q125" s="3">
        <v>4.9099406174796467E-2</v>
      </c>
      <c r="R125" s="3">
        <v>5.4500893874562334E-2</v>
      </c>
      <c r="S125" s="80">
        <v>4.5881669480773768E-2</v>
      </c>
      <c r="T125" s="80">
        <v>4.7397060344929187E-2</v>
      </c>
      <c r="U125" s="80">
        <v>4.4790630869517178E-2</v>
      </c>
      <c r="V125" s="3">
        <v>0.77319000000000004</v>
      </c>
      <c r="W125" s="3">
        <v>0.77959000000000001</v>
      </c>
      <c r="X125" s="4">
        <v>0.22481484918793504</v>
      </c>
      <c r="Y125" s="4">
        <v>0.23351385305190137</v>
      </c>
      <c r="Z125" s="3">
        <v>0.20755859400930393</v>
      </c>
      <c r="AA125" s="4">
        <v>0.20203022730583262</v>
      </c>
      <c r="AB125" s="4">
        <v>0.20975260192243955</v>
      </c>
      <c r="AC125" s="4">
        <v>0.20787407470073177</v>
      </c>
      <c r="AD125" s="5">
        <v>0.26205948788386624</v>
      </c>
      <c r="AE125" s="5">
        <v>0.24791189678660638</v>
      </c>
      <c r="AF125" s="6">
        <v>1.3895467443169298</v>
      </c>
      <c r="AG125" s="6">
        <v>1.4368007889028838</v>
      </c>
      <c r="AH125" s="6">
        <v>1.3752045112685589</v>
      </c>
      <c r="AI125" s="7">
        <v>0.30285444275283069</v>
      </c>
      <c r="AJ125" s="6">
        <v>6.8779150667065236</v>
      </c>
      <c r="AK125" s="6">
        <v>6.8499783827910328</v>
      </c>
      <c r="AL125" s="6">
        <v>6.6155652803188056</v>
      </c>
      <c r="AM125" s="6">
        <v>1.4990551007714839</v>
      </c>
      <c r="AN125" s="6">
        <v>5.2168788928552674</v>
      </c>
      <c r="AO125" s="6" t="s">
        <v>289</v>
      </c>
      <c r="AP125" s="6" t="s">
        <v>293</v>
      </c>
      <c r="AQ125" s="6"/>
      <c r="AR125" s="6"/>
      <c r="AS125" s="119" t="s">
        <v>392</v>
      </c>
    </row>
    <row r="126" spans="1:45" s="122" customFormat="1" ht="12.75" x14ac:dyDescent="0.2">
      <c r="A126" s="119" t="s">
        <v>125</v>
      </c>
      <c r="B126" s="119" t="s">
        <v>256</v>
      </c>
      <c r="C126" s="119">
        <v>26.79</v>
      </c>
      <c r="D126" s="129"/>
      <c r="E126" s="120">
        <v>2496.828</v>
      </c>
      <c r="F126" s="119"/>
      <c r="G126" s="120">
        <v>2663.828</v>
      </c>
      <c r="H126" s="120">
        <v>1651</v>
      </c>
      <c r="I126" s="121">
        <v>1631.9</v>
      </c>
      <c r="J126" s="121">
        <v>1750</v>
      </c>
      <c r="K126" s="121">
        <v>1641.909090909091</v>
      </c>
      <c r="L126" s="121">
        <v>1634.4545454545455</v>
      </c>
      <c r="M126" s="121">
        <v>300.70999999999998</v>
      </c>
      <c r="N126" s="121">
        <v>270.50400000000002</v>
      </c>
      <c r="O126" s="121">
        <v>294.642</v>
      </c>
      <c r="P126" s="121">
        <v>441.78</v>
      </c>
      <c r="Q126" s="3">
        <v>-5.4545454545454564E-2</v>
      </c>
      <c r="R126" s="3">
        <v>-8.1757508342602897E-2</v>
      </c>
      <c r="S126" s="80">
        <v>-1.1568746214415504E-2</v>
      </c>
      <c r="T126" s="80">
        <v>-6.1766233766233691E-2</v>
      </c>
      <c r="U126" s="80">
        <v>-4.5401694258346836E-3</v>
      </c>
      <c r="V126" s="3">
        <v>0.60467000000000004</v>
      </c>
      <c r="W126" s="3">
        <v>0.61487000000000003</v>
      </c>
      <c r="X126" s="4">
        <v>0.20547057195061183</v>
      </c>
      <c r="Y126" s="4">
        <v>0.21558507147227321</v>
      </c>
      <c r="Z126" s="3">
        <v>0.17201695941853423</v>
      </c>
      <c r="AA126" s="4">
        <v>0.18426986947729637</v>
      </c>
      <c r="AB126" s="4">
        <v>0.16474968163446099</v>
      </c>
      <c r="AC126" s="4">
        <v>0.18026931419989989</v>
      </c>
      <c r="AD126" s="5">
        <v>9.0259451075931335E-2</v>
      </c>
      <c r="AE126" s="5">
        <v>0.17270112326288087</v>
      </c>
      <c r="AF126" s="6">
        <v>1.6323475703168084</v>
      </c>
      <c r="AG126" s="6">
        <v>1.622396766513482</v>
      </c>
      <c r="AH126" s="6">
        <v>1.6297963179264696</v>
      </c>
      <c r="AI126" s="7">
        <v>-1.4109978212529064</v>
      </c>
      <c r="AJ126" s="6">
        <v>8.8584616407834798</v>
      </c>
      <c r="AK126" s="6">
        <v>9.8476473545677692</v>
      </c>
      <c r="AL126" s="6">
        <v>9.0408970886703184</v>
      </c>
      <c r="AM126" s="6">
        <v>-7.6572356905411141</v>
      </c>
      <c r="AN126" s="6">
        <v>6.0297614197111686</v>
      </c>
      <c r="AO126" s="6" t="s">
        <v>291</v>
      </c>
      <c r="AP126" s="6" t="s">
        <v>294</v>
      </c>
      <c r="AQ126" s="6"/>
      <c r="AR126" s="6" t="s">
        <v>336</v>
      </c>
      <c r="AS126" s="119" t="s">
        <v>393</v>
      </c>
    </row>
    <row r="127" spans="1:45" s="122" customFormat="1" ht="12.75" x14ac:dyDescent="0.2">
      <c r="A127" s="119" t="s">
        <v>76</v>
      </c>
      <c r="B127" s="119" t="s">
        <v>206</v>
      </c>
      <c r="C127" s="119">
        <v>20.29</v>
      </c>
      <c r="D127" s="129"/>
      <c r="E127" s="120">
        <v>1229.4646369</v>
      </c>
      <c r="F127" s="119"/>
      <c r="G127" s="120">
        <v>1902.1656369</v>
      </c>
      <c r="H127" s="120">
        <v>893.84299999999996</v>
      </c>
      <c r="I127" s="121" t="s">
        <v>398</v>
      </c>
      <c r="J127" s="121">
        <v>909.18600000000004</v>
      </c>
      <c r="K127" s="121" t="s">
        <v>398</v>
      </c>
      <c r="L127" s="121" t="s">
        <v>398</v>
      </c>
      <c r="M127" s="121">
        <v>145.9</v>
      </c>
      <c r="N127" s="121">
        <v>146.09633333333332</v>
      </c>
      <c r="O127" s="121">
        <v>159.00833333333335</v>
      </c>
      <c r="P127" s="121">
        <v>308.60000000000002</v>
      </c>
      <c r="Q127" s="3">
        <v>-1.0291668649188623E-2</v>
      </c>
      <c r="R127" s="3">
        <v>-2.3232357450472776E-2</v>
      </c>
      <c r="S127" s="80" t="e">
        <v>#VALUE!</v>
      </c>
      <c r="T127" s="80" t="e">
        <v>#VALUE!</v>
      </c>
      <c r="U127" s="80" t="e">
        <v>#VALUE!</v>
      </c>
      <c r="V127" s="3">
        <v>0.73458333333333325</v>
      </c>
      <c r="W127" s="3">
        <v>0.73225000000000007</v>
      </c>
      <c r="X127" s="4" t="e">
        <v>#VALUE!</v>
      </c>
      <c r="Y127" s="4" t="e">
        <v>#VALUE!</v>
      </c>
      <c r="Z127" s="3">
        <v>0.13959386603687671</v>
      </c>
      <c r="AA127" s="4" t="e">
        <v>#VALUE!</v>
      </c>
      <c r="AB127" s="4" t="e">
        <v>#VALUE!</v>
      </c>
      <c r="AC127" s="4" t="e">
        <v>#VALUE!</v>
      </c>
      <c r="AD127" s="5">
        <v>0.11636150858640393</v>
      </c>
      <c r="AE127" s="5" t="e">
        <v>#VALUE!</v>
      </c>
      <c r="AF127" s="6" t="e">
        <v>#VALUE!</v>
      </c>
      <c r="AG127" s="6" t="e">
        <v>#VALUE!</v>
      </c>
      <c r="AH127" s="6" t="e">
        <v>#VALUE!</v>
      </c>
      <c r="AI127" s="7" t="e">
        <v>#VALUE!</v>
      </c>
      <c r="AJ127" s="6">
        <v>13.037461527758738</v>
      </c>
      <c r="AK127" s="6">
        <v>13.019940976615887</v>
      </c>
      <c r="AL127" s="6">
        <v>11.962678917666787</v>
      </c>
      <c r="AM127" s="6" t="e">
        <v>#VALUE!</v>
      </c>
      <c r="AN127" s="6">
        <v>6.163854947828904</v>
      </c>
      <c r="AO127" s="6" t="s">
        <v>289</v>
      </c>
      <c r="AP127" s="6" t="s">
        <v>293</v>
      </c>
      <c r="AQ127" s="6"/>
      <c r="AR127" s="6"/>
      <c r="AS127" s="119" t="s">
        <v>393</v>
      </c>
    </row>
    <row r="128" spans="1:45" s="122" customFormat="1" ht="12.75" x14ac:dyDescent="0.2">
      <c r="A128" s="119" t="s">
        <v>386</v>
      </c>
      <c r="B128" s="119" t="s">
        <v>216</v>
      </c>
      <c r="C128" s="119">
        <v>4.46</v>
      </c>
      <c r="D128" s="129"/>
      <c r="E128" s="120">
        <v>362.43452315999997</v>
      </c>
      <c r="F128" s="119"/>
      <c r="G128" s="120">
        <v>386.29352315999995</v>
      </c>
      <c r="H128" s="120">
        <v>339.86</v>
      </c>
      <c r="I128" s="121">
        <v>354.31111111111119</v>
      </c>
      <c r="J128" s="121">
        <v>332.92700000000002</v>
      </c>
      <c r="K128" s="121">
        <v>343.1</v>
      </c>
      <c r="L128" s="121">
        <v>358.3</v>
      </c>
      <c r="M128" s="121">
        <v>32.018999999999998</v>
      </c>
      <c r="N128" s="121">
        <v>27.577999999999999</v>
      </c>
      <c r="O128" s="121">
        <v>34.027000000000001</v>
      </c>
      <c r="P128" s="121">
        <v>29.929761904761904</v>
      </c>
      <c r="Q128" s="3">
        <v>2.7702783418946497E-2</v>
      </c>
      <c r="R128" s="3">
        <v>2.9729009113825904E-2</v>
      </c>
      <c r="S128" s="80">
        <v>4.2520776528897741E-2</v>
      </c>
      <c r="T128" s="80">
        <v>3.055624806639301E-2</v>
      </c>
      <c r="U128" s="80">
        <v>4.4301952783444953E-2</v>
      </c>
      <c r="V128" s="3">
        <v>0.79327999999999999</v>
      </c>
      <c r="W128" s="3">
        <v>0.78935</v>
      </c>
      <c r="X128" s="4">
        <v>8.0247741183328475E-2</v>
      </c>
      <c r="Y128" s="4">
        <v>7.58554284119453E-2</v>
      </c>
      <c r="Z128" s="3">
        <v>9.0157711999058421E-2</v>
      </c>
      <c r="AA128" s="4">
        <v>9.0369731560461589E-2</v>
      </c>
      <c r="AB128" s="4">
        <v>8.037889828038472E-2</v>
      </c>
      <c r="AC128" s="4">
        <v>9.4967903991068942E-2</v>
      </c>
      <c r="AD128" s="5">
        <v>0.11988672111288433</v>
      </c>
      <c r="AE128" s="5">
        <v>0.13289050808935932</v>
      </c>
      <c r="AF128" s="6">
        <v>1.0902664665203208</v>
      </c>
      <c r="AG128" s="6">
        <v>1.1258919357621682</v>
      </c>
      <c r="AH128" s="6">
        <v>1.0781287277700249</v>
      </c>
      <c r="AI128" s="7">
        <v>0.2564079387824349</v>
      </c>
      <c r="AJ128" s="6">
        <v>12.064509296355288</v>
      </c>
      <c r="AK128" s="6">
        <v>14.007307388498077</v>
      </c>
      <c r="AL128" s="6">
        <v>11.35255894319217</v>
      </c>
      <c r="AM128" s="6">
        <v>2.837321018386405</v>
      </c>
      <c r="AN128" s="6">
        <v>12.906668766333876</v>
      </c>
      <c r="AO128" s="6" t="s">
        <v>289</v>
      </c>
      <c r="AP128" s="6" t="s">
        <v>293</v>
      </c>
      <c r="AQ128" s="6"/>
      <c r="AR128" s="6"/>
      <c r="AS128" s="119" t="s">
        <v>392</v>
      </c>
    </row>
    <row r="129" spans="1:45" s="122" customFormat="1" ht="12.75" x14ac:dyDescent="0.2">
      <c r="A129" s="119" t="s">
        <v>80</v>
      </c>
      <c r="B129" s="119" t="s">
        <v>210</v>
      </c>
      <c r="C129" s="119">
        <v>4.7300000000000004</v>
      </c>
      <c r="D129" s="129"/>
      <c r="E129" s="120">
        <v>727.43006302999993</v>
      </c>
      <c r="F129" s="119"/>
      <c r="G129" s="120">
        <v>519.26006302999997</v>
      </c>
      <c r="H129" s="120">
        <v>338.83800000000002</v>
      </c>
      <c r="I129" s="121">
        <v>364.25714285714281</v>
      </c>
      <c r="J129" s="121">
        <v>327.51600000000002</v>
      </c>
      <c r="K129" s="121">
        <v>342.42857142857139</v>
      </c>
      <c r="L129" s="121">
        <v>374.71428571428572</v>
      </c>
      <c r="M129" s="121">
        <v>37.243000000000002</v>
      </c>
      <c r="N129" s="121">
        <v>32.433999999999997</v>
      </c>
      <c r="O129" s="121">
        <v>45.765000000000001</v>
      </c>
      <c r="P129" s="121">
        <v>34.364285714285714</v>
      </c>
      <c r="Q129" s="3">
        <v>3.8212279166508045E-2</v>
      </c>
      <c r="R129" s="3">
        <v>6.5354093041389283E-2</v>
      </c>
      <c r="S129" s="80">
        <v>7.5018571875476781E-2</v>
      </c>
      <c r="T129" s="80">
        <v>4.5532344766580524E-2</v>
      </c>
      <c r="U129" s="80">
        <v>9.42845223195663E-2</v>
      </c>
      <c r="V129" s="3">
        <v>0.51707000000000003</v>
      </c>
      <c r="W129" s="3">
        <v>0.52478000000000002</v>
      </c>
      <c r="X129" s="4">
        <v>-2.1318314559866502E-2</v>
      </c>
      <c r="Y129" s="4">
        <v>4.5901639344262293E-2</v>
      </c>
      <c r="Z129" s="3">
        <v>9.7161475395321661E-2</v>
      </c>
      <c r="AA129" s="4">
        <v>0.10224370538865796</v>
      </c>
      <c r="AB129" s="4">
        <v>9.4717563621193157E-2</v>
      </c>
      <c r="AC129" s="4">
        <v>0.12213305375524208</v>
      </c>
      <c r="AD129" s="5">
        <v>0.16251556843671094</v>
      </c>
      <c r="AE129" s="5">
        <v>0.17726227726413474</v>
      </c>
      <c r="AF129" s="6">
        <v>1.425531587265668</v>
      </c>
      <c r="AG129" s="6">
        <v>1.5164040221985817</v>
      </c>
      <c r="AH129" s="6">
        <v>1.3857493104117422</v>
      </c>
      <c r="AI129" s="7">
        <v>0.19002382365154935</v>
      </c>
      <c r="AJ129" s="6">
        <v>13.942487528663102</v>
      </c>
      <c r="AK129" s="6">
        <v>16.009744805759389</v>
      </c>
      <c r="AL129" s="6">
        <v>11.346226658581886</v>
      </c>
      <c r="AM129" s="6">
        <v>1.858538116642132</v>
      </c>
      <c r="AN129" s="6">
        <v>15.110457040989399</v>
      </c>
      <c r="AO129" s="6" t="s">
        <v>289</v>
      </c>
      <c r="AP129" s="6" t="s">
        <v>293</v>
      </c>
      <c r="AQ129" s="6"/>
      <c r="AR129" s="6"/>
      <c r="AS129" s="119" t="s">
        <v>392</v>
      </c>
    </row>
    <row r="130" spans="1:45" s="122" customFormat="1" ht="12.75" x14ac:dyDescent="0.2">
      <c r="A130" s="119" t="s">
        <v>130</v>
      </c>
      <c r="B130" s="119" t="s">
        <v>261</v>
      </c>
      <c r="C130" s="119">
        <v>14.11</v>
      </c>
      <c r="D130" s="129"/>
      <c r="E130" s="120">
        <v>430.65950790999995</v>
      </c>
      <c r="F130" s="119"/>
      <c r="G130" s="120">
        <v>822.29450790999988</v>
      </c>
      <c r="H130" s="120">
        <v>756.11800000000005</v>
      </c>
      <c r="I130" s="121">
        <v>831.5</v>
      </c>
      <c r="J130" s="121">
        <v>748.48699999999997</v>
      </c>
      <c r="K130" s="121">
        <v>754.5</v>
      </c>
      <c r="L130" s="121">
        <v>868.25</v>
      </c>
      <c r="M130" s="121">
        <v>86.948000000000008</v>
      </c>
      <c r="N130" s="121">
        <v>66.125</v>
      </c>
      <c r="O130" s="121">
        <v>90.531999999999996</v>
      </c>
      <c r="P130" s="121">
        <v>92.899999999999991</v>
      </c>
      <c r="Q130" s="3">
        <v>-1.0253606556531514E-2</v>
      </c>
      <c r="R130" s="3">
        <v>7.4177728781197355E-2</v>
      </c>
      <c r="S130" s="80">
        <v>9.9696079183407837E-2</v>
      </c>
      <c r="T130" s="80">
        <v>8.0335396606754372E-3</v>
      </c>
      <c r="U130" s="80">
        <v>0.15076209410205443</v>
      </c>
      <c r="V130" s="3">
        <v>0.43517000000000006</v>
      </c>
      <c r="W130" s="3">
        <v>0.43250999999999995</v>
      </c>
      <c r="X130" s="4">
        <v>-1.7643472498343277E-2</v>
      </c>
      <c r="Y130" s="4">
        <v>9.5709761013532974E-3</v>
      </c>
      <c r="Z130" s="3">
        <v>7.3819165791582805E-2</v>
      </c>
      <c r="AA130" s="4">
        <v>0.10456764882742034</v>
      </c>
      <c r="AB130" s="4">
        <v>8.7640821736249166E-2</v>
      </c>
      <c r="AC130" s="4">
        <v>0.10426950763029082</v>
      </c>
      <c r="AD130" s="5">
        <v>0.14799689457278015</v>
      </c>
      <c r="AE130" s="5">
        <v>0.20426372801082818</v>
      </c>
      <c r="AF130" s="6">
        <v>0.98892905340950077</v>
      </c>
      <c r="AG130" s="6">
        <v>1.0898535558780649</v>
      </c>
      <c r="AH130" s="6">
        <v>0.94707112917938363</v>
      </c>
      <c r="AI130" s="7">
        <v>9.9194377703680614E-2</v>
      </c>
      <c r="AJ130" s="6">
        <v>9.4573136577034536</v>
      </c>
      <c r="AK130" s="6">
        <v>12.435455696181473</v>
      </c>
      <c r="AL130" s="6">
        <v>9.0829155205894043</v>
      </c>
      <c r="AM130" s="6">
        <v>0.94861440240845596</v>
      </c>
      <c r="AN130" s="6">
        <v>8.8513940571582346</v>
      </c>
      <c r="AO130" s="6" t="s">
        <v>291</v>
      </c>
      <c r="AP130" s="6" t="s">
        <v>294</v>
      </c>
      <c r="AQ130" s="6"/>
      <c r="AR130" s="6"/>
      <c r="AS130" s="119" t="s">
        <v>392</v>
      </c>
    </row>
    <row r="131" spans="1:45" s="122" customFormat="1" ht="12.75" x14ac:dyDescent="0.2">
      <c r="A131" s="119" t="s">
        <v>77</v>
      </c>
      <c r="B131" s="119" t="s">
        <v>207</v>
      </c>
      <c r="C131" s="119">
        <v>4.97</v>
      </c>
      <c r="D131" s="129"/>
      <c r="E131" s="120">
        <v>727.49252205000005</v>
      </c>
      <c r="F131" s="119"/>
      <c r="G131" s="120">
        <v>400.51452205000004</v>
      </c>
      <c r="H131" s="120">
        <v>795.80100000000004</v>
      </c>
      <c r="I131" s="121">
        <v>798.1</v>
      </c>
      <c r="J131" s="121">
        <v>786.56500000000005</v>
      </c>
      <c r="K131" s="121">
        <v>789.1111111111112</v>
      </c>
      <c r="L131" s="121">
        <v>809.25</v>
      </c>
      <c r="M131" s="121">
        <v>80.260000000000005</v>
      </c>
      <c r="N131" s="121">
        <v>74.927000000000007</v>
      </c>
      <c r="O131" s="121">
        <v>83.855000000000004</v>
      </c>
      <c r="P131" s="121">
        <v>83.590666666666678</v>
      </c>
      <c r="Q131" s="3">
        <v>1.3458399218082562E-3</v>
      </c>
      <c r="R131" s="3">
        <v>2.5294781542140266E-2</v>
      </c>
      <c r="S131" s="80">
        <v>2.888913183069608E-3</v>
      </c>
      <c r="T131" s="80">
        <v>3.2370002620396576E-3</v>
      </c>
      <c r="U131" s="80">
        <v>2.5520980005632188E-2</v>
      </c>
      <c r="V131" s="3">
        <v>0.66317000000000004</v>
      </c>
      <c r="W131" s="3">
        <v>0.68417000000000006</v>
      </c>
      <c r="X131" s="4">
        <v>8.589791607997746E-2</v>
      </c>
      <c r="Y131" s="4">
        <v>8.7488415199258568E-2</v>
      </c>
      <c r="Z131" s="3">
        <v>8.0870720192610962E-2</v>
      </c>
      <c r="AA131" s="4">
        <v>0.10056383911790502</v>
      </c>
      <c r="AB131" s="4">
        <v>9.4951140523796107E-2</v>
      </c>
      <c r="AC131" s="4">
        <v>0.10362063639172073</v>
      </c>
      <c r="AD131" s="5">
        <v>0.10616550173475123</v>
      </c>
      <c r="AE131" s="5">
        <v>0.10345275230097463</v>
      </c>
      <c r="AF131" s="6">
        <v>0.50183501071294323</v>
      </c>
      <c r="AG131" s="6">
        <v>0.50755149231906505</v>
      </c>
      <c r="AH131" s="6">
        <v>0.49492063274637016</v>
      </c>
      <c r="AI131" s="7">
        <v>1.737106582689756</v>
      </c>
      <c r="AJ131" s="6">
        <v>4.990213332295041</v>
      </c>
      <c r="AK131" s="6">
        <v>5.3453964799071096</v>
      </c>
      <c r="AL131" s="6">
        <v>4.7762747844493472</v>
      </c>
      <c r="AM131" s="6">
        <v>17.273670117676232</v>
      </c>
      <c r="AN131" s="6">
        <v>4.791378487829582</v>
      </c>
      <c r="AO131" s="6" t="s">
        <v>290</v>
      </c>
      <c r="AP131" s="6" t="s">
        <v>293</v>
      </c>
      <c r="AQ131" s="6"/>
      <c r="AR131" s="6"/>
      <c r="AS131" s="119" t="s">
        <v>392</v>
      </c>
    </row>
    <row r="132" spans="1:45" s="122" customFormat="1" ht="12.75" x14ac:dyDescent="0.2">
      <c r="A132" s="119" t="s">
        <v>67</v>
      </c>
      <c r="B132" s="119" t="s">
        <v>198</v>
      </c>
      <c r="C132" s="119">
        <v>11.33</v>
      </c>
      <c r="D132" s="129"/>
      <c r="E132" s="120">
        <v>1567.82532324</v>
      </c>
      <c r="F132" s="119"/>
      <c r="G132" s="120">
        <v>1122.7643232400001</v>
      </c>
      <c r="H132" s="120">
        <v>1157.4580000000001</v>
      </c>
      <c r="I132" s="121">
        <v>1282.9182692307691</v>
      </c>
      <c r="J132" s="121">
        <v>1076.826</v>
      </c>
      <c r="K132" s="121">
        <v>1188.4490000000001</v>
      </c>
      <c r="L132" s="121">
        <v>1322.7932692307691</v>
      </c>
      <c r="M132" s="121">
        <v>47.533000000000001</v>
      </c>
      <c r="N132" s="121">
        <v>71.131</v>
      </c>
      <c r="O132" s="121">
        <v>47.747</v>
      </c>
      <c r="P132" s="121">
        <v>81.794999999999987</v>
      </c>
      <c r="Q132" s="3">
        <v>0.15073489620538139</v>
      </c>
      <c r="R132" s="3">
        <v>0.14239664266312943</v>
      </c>
      <c r="S132" s="80">
        <v>0.10839293454342958</v>
      </c>
      <c r="T132" s="80">
        <v>0.10365927271444053</v>
      </c>
      <c r="U132" s="80">
        <v>0.11304167804488796</v>
      </c>
      <c r="V132" s="3">
        <v>0.42790629750000003</v>
      </c>
      <c r="W132" s="3">
        <v>0.43304750000000003</v>
      </c>
      <c r="X132" s="4">
        <v>-0.574710399857293</v>
      </c>
      <c r="Y132" s="4">
        <v>-6.3139117761438684E-2</v>
      </c>
      <c r="Z132" s="3" t="e">
        <v>#VALUE!</v>
      </c>
      <c r="AA132" s="4">
        <v>3.7050684474624042E-2</v>
      </c>
      <c r="AB132" s="4">
        <v>5.9851958308686358E-2</v>
      </c>
      <c r="AC132" s="4">
        <v>3.6095587353393355E-2</v>
      </c>
      <c r="AD132" s="5" t="e">
        <v>#VALUE!</v>
      </c>
      <c r="AE132" s="5">
        <v>0.14544361901805361</v>
      </c>
      <c r="AF132" s="6">
        <v>0.8751643422407599</v>
      </c>
      <c r="AG132" s="6">
        <v>0.94473075684358354</v>
      </c>
      <c r="AH132" s="6">
        <v>0.84878291215747581</v>
      </c>
      <c r="AI132" s="7">
        <v>8.0739980509533085E-2</v>
      </c>
      <c r="AJ132" s="6">
        <v>23.620733453390276</v>
      </c>
      <c r="AK132" s="6">
        <v>15.784458579803463</v>
      </c>
      <c r="AL132" s="6">
        <v>23.514866342178568</v>
      </c>
      <c r="AM132" s="6">
        <v>2.1791764890290155</v>
      </c>
      <c r="AN132" s="6">
        <v>13.726564255027816</v>
      </c>
      <c r="AO132" s="6" t="s">
        <v>290</v>
      </c>
      <c r="AP132" s="6" t="s">
        <v>293</v>
      </c>
      <c r="AQ132" s="6"/>
      <c r="AR132" s="6"/>
      <c r="AS132" s="119" t="s">
        <v>392</v>
      </c>
    </row>
    <row r="133" spans="1:45" s="122" customFormat="1" ht="12.75" x14ac:dyDescent="0.2">
      <c r="A133" s="119" t="s">
        <v>69</v>
      </c>
      <c r="B133" s="119" t="s">
        <v>200</v>
      </c>
      <c r="C133" s="119">
        <v>42.42</v>
      </c>
      <c r="D133" s="129"/>
      <c r="E133" s="120">
        <v>1310.493786</v>
      </c>
      <c r="F133" s="119"/>
      <c r="G133" s="120">
        <v>22768.989392615997</v>
      </c>
      <c r="H133" s="120">
        <v>4999.8239999999996</v>
      </c>
      <c r="I133" s="121">
        <v>5841</v>
      </c>
      <c r="J133" s="121">
        <v>4567.4589999999998</v>
      </c>
      <c r="K133" s="121">
        <v>5285.0538555555549</v>
      </c>
      <c r="L133" s="121">
        <v>6145.3388888888885</v>
      </c>
      <c r="M133" s="121">
        <v>708.84199999999998</v>
      </c>
      <c r="N133" s="121">
        <v>684.51733333333334</v>
      </c>
      <c r="O133" s="121">
        <v>749.93866666666668</v>
      </c>
      <c r="P133" s="121">
        <v>2319.333333333333</v>
      </c>
      <c r="Q133" s="3">
        <v>0.21430243033248675</v>
      </c>
      <c r="R133" s="3">
        <v>0.14752320201457078</v>
      </c>
      <c r="S133" s="80">
        <v>0.16824112208749753</v>
      </c>
      <c r="T133" s="80">
        <v>0.15711030040019081</v>
      </c>
      <c r="U133" s="80">
        <v>0.16277696629884231</v>
      </c>
      <c r="V133" s="3">
        <v>0.68594166666666667</v>
      </c>
      <c r="W133" s="3">
        <v>0.68672166666666667</v>
      </c>
      <c r="X133" s="4">
        <v>0.273337942039304</v>
      </c>
      <c r="Y133" s="4">
        <v>0.26606615131070432</v>
      </c>
      <c r="Z133" s="3">
        <v>0.11787174908556779</v>
      </c>
      <c r="AA133" s="4">
        <v>0.12135627461051189</v>
      </c>
      <c r="AB133" s="4">
        <v>0.12951946224990327</v>
      </c>
      <c r="AC133" s="5">
        <v>0.12203373649947884</v>
      </c>
      <c r="AD133" s="6">
        <v>0.26539495110013855</v>
      </c>
      <c r="AE133" s="6">
        <v>0.28959739669800943</v>
      </c>
      <c r="AF133" s="6">
        <v>3.8981320651628142</v>
      </c>
      <c r="AG133" s="6">
        <v>4.3081849333818312</v>
      </c>
      <c r="AH133" s="7">
        <v>3.7050827959681092</v>
      </c>
      <c r="AI133" s="6">
        <v>0.23169912425664305</v>
      </c>
      <c r="AJ133" s="6">
        <v>32.121388677047911</v>
      </c>
      <c r="AK133" s="6">
        <v>33.262838329805135</v>
      </c>
      <c r="AL133" s="6">
        <v>30.361135389670974</v>
      </c>
      <c r="AM133" s="6">
        <v>1.9092471732530689</v>
      </c>
      <c r="AN133" s="6">
        <v>9.8170405544478303</v>
      </c>
      <c r="AO133" s="6" t="s">
        <v>290</v>
      </c>
      <c r="AP133" s="6" t="s">
        <v>293</v>
      </c>
      <c r="AQ133" s="6"/>
      <c r="AR133" s="119"/>
      <c r="AS133" s="122" t="s">
        <v>392</v>
      </c>
    </row>
    <row r="134" spans="1:45" s="122" customFormat="1" ht="12.75" x14ac:dyDescent="0.2">
      <c r="A134" s="119" t="s">
        <v>387</v>
      </c>
      <c r="B134" s="119" t="s">
        <v>388</v>
      </c>
      <c r="C134" s="119">
        <v>36.76</v>
      </c>
      <c r="D134" s="129"/>
      <c r="E134" s="120">
        <v>18217.951553679999</v>
      </c>
      <c r="F134" s="119"/>
      <c r="G134" s="120">
        <v>16701.65455368</v>
      </c>
      <c r="H134" s="120">
        <v>968.95699999999999</v>
      </c>
      <c r="I134" s="121">
        <v>1224.8214285714284</v>
      </c>
      <c r="J134" s="121">
        <v>749.01099999999997</v>
      </c>
      <c r="K134" s="121">
        <v>1045</v>
      </c>
      <c r="L134" s="121">
        <v>1286</v>
      </c>
      <c r="M134" s="121">
        <v>212.667</v>
      </c>
      <c r="N134" s="121">
        <v>283.51</v>
      </c>
      <c r="O134" s="121">
        <v>196.57500000000002</v>
      </c>
      <c r="P134" s="121">
        <v>51.542999999999992</v>
      </c>
      <c r="Q134" s="3">
        <v>0.38025765333091677</v>
      </c>
      <c r="R134" s="3">
        <v>0.43228353672957731</v>
      </c>
      <c r="S134" s="80">
        <v>0.26406169579396033</v>
      </c>
      <c r="T134" s="80">
        <v>0.39517310159663888</v>
      </c>
      <c r="U134" s="80">
        <v>0.23062200956937806</v>
      </c>
      <c r="V134" s="3">
        <v>0.87487999999999999</v>
      </c>
      <c r="W134" s="3">
        <v>0.83169999999999999</v>
      </c>
      <c r="X134" s="4">
        <v>0.10877224880382776</v>
      </c>
      <c r="Y134" s="4">
        <v>8.9288491446345264E-2</v>
      </c>
      <c r="Z134" s="3" t="e">
        <v>#VALUE!</v>
      </c>
      <c r="AA134" s="4">
        <v>0.17363102493074795</v>
      </c>
      <c r="AB134" s="4">
        <v>0.27130143540669854</v>
      </c>
      <c r="AC134" s="5">
        <v>0.15285769828926907</v>
      </c>
      <c r="AD134" s="6" t="e">
        <v>#VALUE!</v>
      </c>
      <c r="AE134" s="6">
        <v>0.43769272072470827</v>
      </c>
      <c r="AF134" s="6">
        <v>13.635991471148566</v>
      </c>
      <c r="AG134" s="6">
        <v>15.982444548976076</v>
      </c>
      <c r="AH134" s="7">
        <v>12.987289699595646</v>
      </c>
      <c r="AI134" s="6">
        <v>0.51639414910780301</v>
      </c>
      <c r="AJ134" s="6">
        <v>78.53430270648478</v>
      </c>
      <c r="AK134" s="6">
        <v>58.910283777221267</v>
      </c>
      <c r="AL134" s="6">
        <v>84.963268745669581</v>
      </c>
      <c r="AM134" s="6">
        <v>2.9740891601242621</v>
      </c>
      <c r="AN134" s="6">
        <v>324.03341974041098</v>
      </c>
      <c r="AO134" s="6" t="s">
        <v>289</v>
      </c>
      <c r="AP134" s="6" t="s">
        <v>293</v>
      </c>
      <c r="AQ134" s="6"/>
      <c r="AR134" s="119" t="s">
        <v>337</v>
      </c>
      <c r="AS134" s="122" t="s">
        <v>392</v>
      </c>
    </row>
    <row r="135" spans="1:45" s="122" customFormat="1" ht="12.75" x14ac:dyDescent="0.2">
      <c r="A135" s="119"/>
      <c r="B135" s="119"/>
      <c r="C135" s="119"/>
      <c r="D135" s="129"/>
      <c r="E135" s="123"/>
      <c r="F135" s="119"/>
      <c r="G135" s="123"/>
      <c r="H135" s="123"/>
      <c r="I135" s="121"/>
      <c r="J135" s="121"/>
      <c r="K135" s="121"/>
      <c r="L135" s="121"/>
      <c r="M135" s="121"/>
      <c r="N135" s="121"/>
      <c r="O135" s="121"/>
      <c r="P135" s="121"/>
      <c r="Q135" s="127"/>
      <c r="R135" s="127"/>
      <c r="S135" s="80"/>
      <c r="T135" s="80"/>
      <c r="U135" s="3"/>
      <c r="V135" s="3"/>
      <c r="W135" s="3"/>
      <c r="X135" s="4"/>
      <c r="Y135" s="4"/>
      <c r="Z135" s="4"/>
      <c r="AA135" s="4"/>
      <c r="AB135" s="4"/>
      <c r="AC135" s="5"/>
      <c r="AD135" s="5"/>
      <c r="AE135" s="5"/>
      <c r="AF135" s="5"/>
      <c r="AG135" s="5"/>
      <c r="AH135" s="5"/>
      <c r="AI135" s="6"/>
      <c r="AJ135" s="6"/>
      <c r="AK135" s="6"/>
      <c r="AL135" s="7"/>
      <c r="AM135" s="7"/>
      <c r="AN135" s="6"/>
      <c r="AO135" s="6"/>
      <c r="AP135" s="6"/>
      <c r="AQ135" s="6"/>
      <c r="AR135" s="119"/>
    </row>
    <row r="136" spans="1:45" s="122" customFormat="1" ht="12.75" x14ac:dyDescent="0.2">
      <c r="A136" s="119"/>
      <c r="B136" s="119"/>
      <c r="C136" s="119"/>
      <c r="D136" s="129"/>
      <c r="E136" s="123"/>
      <c r="F136" s="119"/>
      <c r="G136" s="123"/>
      <c r="H136" s="123"/>
      <c r="I136" s="121"/>
      <c r="J136" s="121"/>
      <c r="K136" s="121"/>
      <c r="L136" s="121"/>
      <c r="M136" s="121"/>
      <c r="N136" s="121"/>
      <c r="O136" s="121"/>
      <c r="P136" s="121"/>
      <c r="Q136" s="127"/>
      <c r="R136" s="127"/>
      <c r="S136" s="80"/>
      <c r="T136" s="80"/>
      <c r="U136" s="3"/>
      <c r="V136" s="3"/>
      <c r="W136" s="3"/>
      <c r="X136" s="4"/>
      <c r="Y136" s="4"/>
      <c r="Z136" s="4"/>
      <c r="AA136" s="4"/>
      <c r="AB136" s="4"/>
      <c r="AC136" s="5"/>
      <c r="AD136" s="5"/>
      <c r="AE136" s="5"/>
      <c r="AF136" s="5"/>
      <c r="AG136" s="5"/>
      <c r="AH136" s="5"/>
      <c r="AI136" s="6"/>
      <c r="AJ136" s="6"/>
      <c r="AK136" s="6"/>
      <c r="AL136" s="7"/>
      <c r="AM136" s="7"/>
      <c r="AN136" s="6"/>
      <c r="AO136" s="6"/>
      <c r="AP136" s="6"/>
      <c r="AQ136" s="6"/>
      <c r="AR136" s="119"/>
    </row>
    <row r="137" spans="1:45" s="122" customFormat="1" ht="12.75" x14ac:dyDescent="0.2">
      <c r="A137" s="119"/>
      <c r="B137" s="119"/>
      <c r="C137" s="119"/>
      <c r="D137" s="129"/>
      <c r="E137" s="123"/>
      <c r="F137" s="119"/>
      <c r="G137" s="123"/>
      <c r="H137" s="123"/>
      <c r="I137" s="121"/>
      <c r="J137" s="121"/>
      <c r="K137" s="121"/>
      <c r="L137" s="121"/>
      <c r="M137" s="121"/>
      <c r="N137" s="121"/>
      <c r="O137" s="121"/>
      <c r="P137" s="121"/>
      <c r="Q137" s="127"/>
      <c r="R137" s="127"/>
      <c r="S137" s="80"/>
      <c r="T137" s="80"/>
      <c r="U137" s="3"/>
      <c r="V137" s="3"/>
      <c r="W137" s="3"/>
      <c r="X137" s="4"/>
      <c r="Y137" s="4"/>
      <c r="Z137" s="4"/>
      <c r="AA137" s="4"/>
      <c r="AB137" s="4"/>
      <c r="AC137" s="5"/>
      <c r="AD137" s="5"/>
      <c r="AE137" s="5"/>
      <c r="AF137" s="5"/>
      <c r="AG137" s="5"/>
      <c r="AH137" s="5"/>
      <c r="AI137" s="6"/>
      <c r="AJ137" s="6"/>
      <c r="AK137" s="6"/>
      <c r="AL137" s="7"/>
      <c r="AM137" s="7"/>
      <c r="AN137" s="6"/>
      <c r="AO137" s="6"/>
      <c r="AP137" s="6"/>
      <c r="AQ137" s="6"/>
      <c r="AR137" s="119"/>
    </row>
    <row r="138" spans="1:45" s="122" customFormat="1" ht="12.75" x14ac:dyDescent="0.2">
      <c r="A138" s="119"/>
      <c r="B138" s="119"/>
      <c r="C138" s="119"/>
      <c r="D138" s="129"/>
      <c r="E138" s="123"/>
      <c r="F138" s="119"/>
      <c r="G138" s="123"/>
      <c r="H138" s="123"/>
      <c r="I138" s="121"/>
      <c r="J138" s="121"/>
      <c r="K138" s="121"/>
      <c r="L138" s="121"/>
      <c r="M138" s="121"/>
      <c r="N138" s="121"/>
      <c r="O138" s="121"/>
      <c r="P138" s="121"/>
      <c r="Q138" s="127"/>
      <c r="R138" s="127"/>
      <c r="S138" s="80"/>
      <c r="T138" s="80"/>
      <c r="U138" s="3"/>
      <c r="V138" s="3"/>
      <c r="W138" s="3"/>
      <c r="X138" s="4"/>
      <c r="Y138" s="4"/>
      <c r="Z138" s="4"/>
      <c r="AA138" s="4"/>
      <c r="AB138" s="4"/>
      <c r="AC138" s="5"/>
      <c r="AD138" s="5"/>
      <c r="AE138" s="5"/>
      <c r="AF138" s="5"/>
      <c r="AG138" s="5"/>
      <c r="AH138" s="5"/>
      <c r="AI138" s="6"/>
      <c r="AJ138" s="6"/>
      <c r="AK138" s="6"/>
      <c r="AL138" s="7"/>
      <c r="AM138" s="7"/>
      <c r="AN138" s="6"/>
      <c r="AO138" s="6"/>
      <c r="AP138" s="6"/>
      <c r="AQ138" s="6"/>
      <c r="AR138" s="119"/>
    </row>
    <row r="139" spans="1:45" s="122" customFormat="1" ht="12.75" x14ac:dyDescent="0.2">
      <c r="A139" s="119"/>
      <c r="B139" s="119"/>
      <c r="C139" s="119"/>
      <c r="D139" s="119"/>
      <c r="E139" s="123"/>
      <c r="F139" s="119"/>
      <c r="G139" s="123"/>
      <c r="H139" s="123"/>
      <c r="I139" s="121"/>
      <c r="J139" s="121"/>
      <c r="K139" s="121"/>
      <c r="L139" s="121"/>
      <c r="M139" s="121"/>
      <c r="N139" s="121"/>
      <c r="O139" s="121"/>
      <c r="P139" s="121"/>
      <c r="Q139" s="127"/>
      <c r="R139" s="127"/>
      <c r="S139" s="80"/>
      <c r="T139" s="80"/>
      <c r="U139" s="3"/>
      <c r="V139" s="3"/>
      <c r="W139" s="3"/>
      <c r="X139" s="4"/>
      <c r="Y139" s="4"/>
      <c r="Z139" s="4"/>
      <c r="AA139" s="4"/>
      <c r="AB139" s="4"/>
      <c r="AC139" s="5"/>
      <c r="AD139" s="5"/>
      <c r="AE139" s="5"/>
      <c r="AF139" s="5"/>
      <c r="AG139" s="5"/>
      <c r="AH139" s="5"/>
      <c r="AI139" s="6"/>
      <c r="AJ139" s="6"/>
      <c r="AK139" s="6"/>
      <c r="AL139" s="7"/>
      <c r="AM139" s="7"/>
      <c r="AN139" s="6"/>
      <c r="AO139" s="6"/>
      <c r="AP139" s="6"/>
      <c r="AQ139" s="6"/>
      <c r="AR139" s="119"/>
    </row>
    <row r="140" spans="1:45" s="122" customFormat="1" ht="12.75" x14ac:dyDescent="0.2">
      <c r="A140" s="119"/>
      <c r="B140" s="119"/>
      <c r="C140" s="119"/>
      <c r="D140" s="119"/>
      <c r="E140" s="123"/>
      <c r="F140" s="119"/>
      <c r="G140" s="123"/>
      <c r="H140" s="123"/>
      <c r="I140" s="121"/>
      <c r="J140" s="121"/>
      <c r="K140" s="121"/>
      <c r="L140" s="121"/>
      <c r="M140" s="121"/>
      <c r="N140" s="121"/>
      <c r="O140" s="121"/>
      <c r="P140" s="121"/>
      <c r="Q140" s="127"/>
      <c r="R140" s="127"/>
      <c r="S140" s="80"/>
      <c r="T140" s="80"/>
      <c r="U140" s="3"/>
      <c r="V140" s="3"/>
      <c r="W140" s="3"/>
      <c r="X140" s="4"/>
      <c r="Y140" s="4"/>
      <c r="Z140" s="4"/>
      <c r="AA140" s="4"/>
      <c r="AB140" s="4"/>
      <c r="AC140" s="5"/>
      <c r="AD140" s="5"/>
      <c r="AE140" s="5"/>
      <c r="AF140" s="5"/>
      <c r="AG140" s="5"/>
      <c r="AH140" s="5"/>
      <c r="AI140" s="6"/>
      <c r="AJ140" s="6"/>
      <c r="AK140" s="6"/>
      <c r="AL140" s="7"/>
      <c r="AM140" s="7"/>
      <c r="AN140" s="6"/>
      <c r="AO140" s="6"/>
      <c r="AP140" s="6"/>
      <c r="AQ140" s="6"/>
      <c r="AR140" s="119"/>
    </row>
    <row r="141" spans="1:45" s="122" customFormat="1" ht="12.75" x14ac:dyDescent="0.2">
      <c r="A141" s="119"/>
      <c r="B141" s="119"/>
      <c r="C141" s="119"/>
      <c r="D141" s="119"/>
      <c r="E141" s="123"/>
      <c r="F141" s="119"/>
      <c r="G141" s="123"/>
      <c r="H141" s="123"/>
      <c r="I141" s="121"/>
      <c r="J141" s="121"/>
      <c r="K141" s="121"/>
      <c r="L141" s="121"/>
      <c r="M141" s="121"/>
      <c r="N141" s="121"/>
      <c r="O141" s="121"/>
      <c r="P141" s="121"/>
      <c r="Q141" s="127"/>
      <c r="R141" s="127"/>
      <c r="S141" s="80"/>
      <c r="T141" s="80"/>
      <c r="U141" s="3"/>
      <c r="V141" s="3"/>
      <c r="W141" s="3"/>
      <c r="X141" s="4"/>
      <c r="Y141" s="4"/>
      <c r="Z141" s="4"/>
      <c r="AA141" s="4"/>
      <c r="AB141" s="4"/>
      <c r="AC141" s="5"/>
      <c r="AD141" s="5"/>
      <c r="AE141" s="5"/>
      <c r="AF141" s="5"/>
      <c r="AG141" s="5"/>
      <c r="AH141" s="5"/>
      <c r="AI141" s="6"/>
      <c r="AJ141" s="6"/>
      <c r="AK141" s="6"/>
      <c r="AL141" s="7"/>
      <c r="AM141" s="7"/>
      <c r="AN141" s="6"/>
      <c r="AO141" s="6"/>
      <c r="AP141" s="6"/>
      <c r="AQ141" s="6"/>
      <c r="AR141" s="119"/>
    </row>
  </sheetData>
  <autoFilter ref="A2:AR2" xr:uid="{00000000-0001-0000-0000-000000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04"/>
  <sheetViews>
    <sheetView showOutlineSymbols="0" showWhiteSpace="0" zoomScale="170" zoomScaleNormal="170" workbookViewId="0">
      <selection activeCell="B13" sqref="B13"/>
    </sheetView>
  </sheetViews>
  <sheetFormatPr defaultColWidth="8.85546875" defaultRowHeight="15" x14ac:dyDescent="0.25"/>
  <cols>
    <col min="2" max="2" width="22" bestFit="1" customWidth="1"/>
    <col min="3" max="3" width="5" bestFit="1" customWidth="1"/>
    <col min="4" max="4" width="6.140625" bestFit="1" customWidth="1"/>
    <col min="5" max="5" width="21.85546875" customWidth="1"/>
    <col min="6" max="6" width="2.28515625" customWidth="1"/>
    <col min="7" max="7" width="8.85546875" customWidth="1"/>
    <col min="8" max="8" width="32.28515625" hidden="1" customWidth="1"/>
    <col min="10" max="10" width="11.140625" hidden="1" customWidth="1"/>
    <col min="11" max="11" width="13.28515625" bestFit="1" customWidth="1"/>
    <col min="12" max="12" width="10.140625" hidden="1" customWidth="1"/>
    <col min="13" max="13" width="13.28515625" bestFit="1" customWidth="1"/>
    <col min="14" max="14" width="13.28515625" customWidth="1"/>
    <col min="15" max="19" width="13.28515625" hidden="1" customWidth="1"/>
    <col min="20" max="22" width="8.85546875" hidden="1" customWidth="1"/>
    <col min="25" max="25" width="8.85546875" customWidth="1"/>
    <col min="26" max="26" width="8.85546875" hidden="1" customWidth="1"/>
    <col min="27" max="27" width="8.85546875" customWidth="1"/>
    <col min="28" max="28" width="8.85546875" hidden="1" customWidth="1"/>
    <col min="29" max="29" width="8.85546875" customWidth="1"/>
    <col min="30" max="30" width="8.85546875" hidden="1" customWidth="1"/>
    <col min="32" max="33" width="8.85546875" customWidth="1"/>
    <col min="34" max="34" width="0" hidden="1" customWidth="1"/>
    <col min="35" max="35" width="8.85546875" customWidth="1"/>
    <col min="36" max="37" width="11.28515625" bestFit="1" customWidth="1"/>
    <col min="38" max="38" width="10.85546875" bestFit="1" customWidth="1"/>
    <col min="39" max="41" width="10.85546875" customWidth="1"/>
    <col min="42" max="42" width="9.140625" style="85" customWidth="1"/>
    <col min="43" max="43" width="11.28515625" style="85" customWidth="1"/>
    <col min="44" max="44" width="7.42578125" style="85" customWidth="1"/>
    <col min="45" max="45" width="11.140625" style="85" customWidth="1"/>
    <col min="46" max="46" width="8.85546875" style="85" bestFit="1" customWidth="1"/>
    <col min="47" max="47" width="35.28515625" style="85" hidden="1" customWidth="1"/>
    <col min="48" max="51" width="10.85546875" style="85" hidden="1" customWidth="1"/>
  </cols>
  <sheetData>
    <row r="1" spans="1:51" ht="57" thickBot="1" x14ac:dyDescent="0.3">
      <c r="A1" s="78" t="s">
        <v>298</v>
      </c>
      <c r="B1" s="76" t="s">
        <v>295</v>
      </c>
      <c r="C1" s="77" t="s">
        <v>296</v>
      </c>
      <c r="D1" s="77" t="s">
        <v>297</v>
      </c>
      <c r="E1" s="77" t="s">
        <v>328</v>
      </c>
      <c r="G1" s="117" t="s">
        <v>0</v>
      </c>
      <c r="H1" s="117" t="s">
        <v>131</v>
      </c>
      <c r="I1" s="117" t="s">
        <v>369</v>
      </c>
      <c r="J1" s="117" t="s">
        <v>310</v>
      </c>
      <c r="K1" s="117" t="s">
        <v>262</v>
      </c>
      <c r="L1" s="117" t="s">
        <v>366</v>
      </c>
      <c r="M1" s="117" t="s">
        <v>263</v>
      </c>
      <c r="N1" s="117" t="s">
        <v>379</v>
      </c>
      <c r="O1" s="118" t="s">
        <v>264</v>
      </c>
      <c r="P1" s="118" t="s">
        <v>380</v>
      </c>
      <c r="Q1" s="118" t="s">
        <v>367</v>
      </c>
      <c r="R1" s="118" t="s">
        <v>368</v>
      </c>
      <c r="S1" s="118" t="s">
        <v>315</v>
      </c>
      <c r="T1" s="118" t="s">
        <v>381</v>
      </c>
      <c r="U1" s="118" t="s">
        <v>382</v>
      </c>
      <c r="V1" s="118" t="s">
        <v>389</v>
      </c>
      <c r="W1" s="118" t="s">
        <v>265</v>
      </c>
      <c r="X1" s="118" t="s">
        <v>395</v>
      </c>
      <c r="Y1" s="118" t="s">
        <v>266</v>
      </c>
      <c r="Z1" s="118" t="s">
        <v>267</v>
      </c>
      <c r="AA1" s="118" t="s">
        <v>268</v>
      </c>
      <c r="AB1" s="118" t="s">
        <v>269</v>
      </c>
      <c r="AC1" s="118" t="s">
        <v>270</v>
      </c>
      <c r="AD1" s="118" t="s">
        <v>271</v>
      </c>
      <c r="AE1" s="118" t="s">
        <v>272</v>
      </c>
      <c r="AF1" s="118" t="s">
        <v>396</v>
      </c>
      <c r="AG1" s="118" t="s">
        <v>383</v>
      </c>
      <c r="AH1" s="118" t="s">
        <v>384</v>
      </c>
      <c r="AI1" s="118" t="s">
        <v>385</v>
      </c>
      <c r="AJ1" s="118" t="s">
        <v>397</v>
      </c>
      <c r="AK1" s="118" t="s">
        <v>278</v>
      </c>
      <c r="AL1" s="118" t="s">
        <v>280</v>
      </c>
      <c r="AM1" s="118" t="s">
        <v>281</v>
      </c>
      <c r="AN1" s="118" t="s">
        <v>282</v>
      </c>
      <c r="AO1" s="118" t="s">
        <v>283</v>
      </c>
      <c r="AP1" s="118" t="s">
        <v>284</v>
      </c>
      <c r="AQ1" s="118" t="s">
        <v>285</v>
      </c>
      <c r="AR1" s="118" t="s">
        <v>286</v>
      </c>
      <c r="AS1" s="118" t="s">
        <v>287</v>
      </c>
      <c r="AT1" s="118" t="s">
        <v>390</v>
      </c>
      <c r="AU1" s="118" t="s">
        <v>288</v>
      </c>
      <c r="AV1" s="118" t="s">
        <v>292</v>
      </c>
      <c r="AW1" s="118" t="s">
        <v>332</v>
      </c>
      <c r="AX1" s="118" t="s">
        <v>333</v>
      </c>
      <c r="AY1" s="118" t="s">
        <v>391</v>
      </c>
    </row>
    <row r="2" spans="1:51" x14ac:dyDescent="0.25">
      <c r="A2" s="58">
        <v>5</v>
      </c>
      <c r="B2" t="s">
        <v>300</v>
      </c>
      <c r="C2" s="74"/>
      <c r="D2" s="74"/>
      <c r="E2" s="74"/>
    </row>
    <row r="3" spans="1:51" x14ac:dyDescent="0.25">
      <c r="A3" s="58">
        <v>9</v>
      </c>
      <c r="B3" t="s">
        <v>264</v>
      </c>
      <c r="C3" s="74"/>
      <c r="D3" s="74"/>
      <c r="E3" s="74"/>
      <c r="G3" s="1" t="s">
        <v>301</v>
      </c>
      <c r="H3" s="2" t="str">
        <f>IFERROR(AVERAGE(H5:H107), "")</f>
        <v/>
      </c>
      <c r="I3" s="65"/>
      <c r="J3" s="66"/>
      <c r="K3" s="67" t="str">
        <f t="shared" ref="K3:AO3" si="0">IFERROR(AVERAGE(K5:K107), "")</f>
        <v/>
      </c>
      <c r="L3" s="72" t="str">
        <f t="shared" si="0"/>
        <v/>
      </c>
      <c r="M3" s="67" t="str">
        <f t="shared" si="0"/>
        <v/>
      </c>
      <c r="N3" s="67" t="str">
        <f t="shared" si="0"/>
        <v/>
      </c>
      <c r="O3" s="67" t="str">
        <f t="shared" si="0"/>
        <v/>
      </c>
      <c r="P3" s="67" t="str">
        <f t="shared" si="0"/>
        <v/>
      </c>
      <c r="Q3" s="67" t="str">
        <f t="shared" si="0"/>
        <v/>
      </c>
      <c r="R3" s="67" t="str">
        <f t="shared" si="0"/>
        <v/>
      </c>
      <c r="S3" s="67" t="str">
        <f t="shared" si="0"/>
        <v/>
      </c>
      <c r="T3" s="67" t="str">
        <f t="shared" si="0"/>
        <v/>
      </c>
      <c r="U3" s="67" t="str">
        <f t="shared" si="0"/>
        <v/>
      </c>
      <c r="V3" s="4" t="str">
        <f t="shared" si="0"/>
        <v/>
      </c>
      <c r="W3" s="4" t="str">
        <f t="shared" si="0"/>
        <v/>
      </c>
      <c r="X3" s="4" t="str">
        <f t="shared" si="0"/>
        <v/>
      </c>
      <c r="Y3" s="5" t="str">
        <f t="shared" si="0"/>
        <v/>
      </c>
      <c r="Z3" s="5" t="str">
        <f t="shared" si="0"/>
        <v/>
      </c>
      <c r="AA3" s="80" t="str">
        <f t="shared" si="0"/>
        <v/>
      </c>
      <c r="AB3" s="80" t="str">
        <f t="shared" si="0"/>
        <v/>
      </c>
      <c r="AC3" s="80" t="str">
        <f t="shared" si="0"/>
        <v/>
      </c>
      <c r="AD3" s="80" t="str">
        <f t="shared" si="0"/>
        <v/>
      </c>
      <c r="AE3" s="80" t="str">
        <f t="shared" si="0"/>
        <v/>
      </c>
      <c r="AF3" s="80" t="str">
        <f t="shared" si="0"/>
        <v/>
      </c>
      <c r="AG3" s="80" t="str">
        <f t="shared" si="0"/>
        <v/>
      </c>
      <c r="AH3" s="80" t="str">
        <f t="shared" si="0"/>
        <v/>
      </c>
      <c r="AI3" s="6" t="str">
        <f t="shared" si="0"/>
        <v/>
      </c>
      <c r="AJ3" s="6" t="str">
        <f t="shared" si="0"/>
        <v/>
      </c>
      <c r="AK3" s="6" t="str">
        <f t="shared" si="0"/>
        <v/>
      </c>
      <c r="AL3" s="6" t="str">
        <f t="shared" si="0"/>
        <v/>
      </c>
      <c r="AM3" s="6" t="str">
        <f t="shared" si="0"/>
        <v/>
      </c>
      <c r="AN3" s="6" t="str">
        <f t="shared" si="0"/>
        <v/>
      </c>
      <c r="AO3" s="6" t="str">
        <f t="shared" si="0"/>
        <v/>
      </c>
      <c r="AP3" s="6" t="str">
        <f t="shared" ref="AP3:AT3" si="1">IFERROR(AVERAGE(AP5:AP107), "")</f>
        <v/>
      </c>
      <c r="AQ3" s="6" t="str">
        <f t="shared" si="1"/>
        <v/>
      </c>
      <c r="AR3" s="6" t="str">
        <f t="shared" si="1"/>
        <v/>
      </c>
      <c r="AS3" s="6" t="str">
        <f t="shared" si="1"/>
        <v/>
      </c>
      <c r="AT3" s="6" t="str">
        <f t="shared" si="1"/>
        <v/>
      </c>
      <c r="AU3" s="86"/>
      <c r="AV3" s="86"/>
      <c r="AW3" s="86"/>
      <c r="AX3" s="86"/>
      <c r="AY3" s="86"/>
    </row>
    <row r="4" spans="1:51" ht="15.75" thickBot="1" x14ac:dyDescent="0.3">
      <c r="A4" s="58">
        <v>17</v>
      </c>
      <c r="B4" t="s">
        <v>265</v>
      </c>
      <c r="C4" s="75"/>
      <c r="D4" s="75"/>
      <c r="E4" s="74"/>
      <c r="G4" s="1" t="s">
        <v>302</v>
      </c>
      <c r="H4" s="2" t="str">
        <f>IFERROR(MEDIAN(H5:H107), "")</f>
        <v/>
      </c>
      <c r="I4" s="1"/>
      <c r="J4" s="66"/>
      <c r="K4" s="67" t="str">
        <f t="shared" ref="K4:AO4" si="2">IFERROR(MEDIAN(K5:K107), "")</f>
        <v/>
      </c>
      <c r="L4" s="72" t="str">
        <f t="shared" si="2"/>
        <v/>
      </c>
      <c r="M4" s="67" t="str">
        <f t="shared" si="2"/>
        <v/>
      </c>
      <c r="N4" s="67" t="str">
        <f t="shared" si="2"/>
        <v/>
      </c>
      <c r="O4" s="67" t="str">
        <f t="shared" si="2"/>
        <v/>
      </c>
      <c r="P4" s="67" t="str">
        <f t="shared" si="2"/>
        <v/>
      </c>
      <c r="Q4" s="67" t="str">
        <f t="shared" si="2"/>
        <v/>
      </c>
      <c r="R4" s="67" t="str">
        <f t="shared" si="2"/>
        <v/>
      </c>
      <c r="S4" s="67" t="str">
        <f t="shared" si="2"/>
        <v/>
      </c>
      <c r="T4" s="67" t="str">
        <f t="shared" si="2"/>
        <v/>
      </c>
      <c r="U4" s="67" t="str">
        <f t="shared" si="2"/>
        <v/>
      </c>
      <c r="V4" s="4" t="str">
        <f t="shared" si="2"/>
        <v/>
      </c>
      <c r="W4" s="4" t="str">
        <f t="shared" si="2"/>
        <v/>
      </c>
      <c r="X4" s="4" t="str">
        <f t="shared" si="2"/>
        <v/>
      </c>
      <c r="Y4" s="5" t="str">
        <f t="shared" si="2"/>
        <v/>
      </c>
      <c r="Z4" s="5" t="str">
        <f t="shared" si="2"/>
        <v/>
      </c>
      <c r="AA4" s="80" t="str">
        <f t="shared" si="2"/>
        <v/>
      </c>
      <c r="AB4" s="80" t="str">
        <f t="shared" si="2"/>
        <v/>
      </c>
      <c r="AC4" s="80" t="str">
        <f t="shared" si="2"/>
        <v/>
      </c>
      <c r="AD4" s="80" t="str">
        <f t="shared" si="2"/>
        <v/>
      </c>
      <c r="AE4" s="80" t="str">
        <f t="shared" si="2"/>
        <v/>
      </c>
      <c r="AF4" s="80" t="str">
        <f t="shared" si="2"/>
        <v/>
      </c>
      <c r="AG4" s="80" t="str">
        <f t="shared" si="2"/>
        <v/>
      </c>
      <c r="AH4" s="80" t="str">
        <f t="shared" si="2"/>
        <v/>
      </c>
      <c r="AI4" s="6" t="str">
        <f t="shared" si="2"/>
        <v/>
      </c>
      <c r="AJ4" s="6" t="str">
        <f t="shared" si="2"/>
        <v/>
      </c>
      <c r="AK4" s="6" t="str">
        <f t="shared" si="2"/>
        <v/>
      </c>
      <c r="AL4" s="6" t="str">
        <f t="shared" si="2"/>
        <v/>
      </c>
      <c r="AM4" s="6" t="str">
        <f t="shared" si="2"/>
        <v/>
      </c>
      <c r="AN4" s="6" t="str">
        <f t="shared" si="2"/>
        <v/>
      </c>
      <c r="AO4" s="6" t="str">
        <f t="shared" si="2"/>
        <v/>
      </c>
      <c r="AP4" s="128" t="str">
        <f t="shared" ref="AP4:AT4" si="3">IFERROR(MEDIAN(AP5:AP107), "")</f>
        <v/>
      </c>
      <c r="AQ4" s="128" t="str">
        <f t="shared" si="3"/>
        <v/>
      </c>
      <c r="AR4" s="128" t="str">
        <f t="shared" si="3"/>
        <v/>
      </c>
      <c r="AS4" s="128" t="str">
        <f t="shared" si="3"/>
        <v/>
      </c>
      <c r="AT4" s="128" t="str">
        <f t="shared" si="3"/>
        <v/>
      </c>
      <c r="AU4" s="87"/>
      <c r="AV4" s="87"/>
      <c r="AW4" s="87"/>
      <c r="AX4" s="87"/>
      <c r="AY4" s="87"/>
    </row>
    <row r="5" spans="1:51" ht="15.75" thickTop="1" x14ac:dyDescent="0.25">
      <c r="A5" s="58">
        <v>23</v>
      </c>
      <c r="B5" t="s">
        <v>331</v>
      </c>
      <c r="C5" s="75"/>
      <c r="D5" s="75"/>
      <c r="E5" s="74"/>
      <c r="G5" s="59" t="e" cm="1" vm="1">
        <f t="array" aca="1" ref="G5" ca="1">_xlfn.LET(
  _xlpm.data, RawData,
  _xlpm.rows, ROWS(_xlpm.data),
  _xlpm.cols, A2:A15,
  _xlpm.mins, C2:C15,
  _xlpm.maxs, D2:D15,
  _xlpm.textFilters, E2:E15,
  _xlpm.numFilters, ROWS(_xlpm.cols),
  _xlpm.mask, _xlfn.BYROW(_xlfn.SEQUENCE(_xlpm.rows),
    _xlfn.LAMBDA(_xlpm.r,
      _xlfn.LET(
        _xlpm.filterResults, _xlfn.BYROW(_xlfn.SEQUENCE(_xlpm.numFilters),
          _xlfn.LAMBDA(_xlpm.f,
            _xlfn.LET(
              _xlpm.colIndex, INDEX(_xlpm.cols,_xlpm.f),
              _xlpm.minVal, INDEX(_xlpm.mins,_xlpm.f),
              _xlpm.maxVal, INDEX(_xlpm.maxs,_xlpm.f),
              _xlpm.textVal, INDEX(_xlpm.textFilters,_xlpm.f),
              _xlpm.cellValue, INDEX(_xlpm.data,_xlpm.r,_xlpm.colIndex),
              IF(NOT(ISBLANK(_xlpm.textVal)),
                IF(ISTEXT(_xlpm.cellValue),
                  ISNUMBER(SEARCH(_xlpm.textVal, _xlpm.cellValue)),
                  FALSE
                ),
                AND(
                  IF(ISBLANK(_xlpm.minVal), TRUE, ISNUMBER(_xlpm.cellValue) * (_xlpm.cellValue &gt;= _xlpm.minVal)),
                  IF(ISBLANK(_xlpm.maxVal), TRUE, ISNUMBER(_xlpm.cellValue) * (_xlpm.cellValue &lt;= _xlpm.maxVal))
                )
              )
            )
          )
        ),
        AND(_xlpm.filterResults)
      )
    )
  ),
  _xlfn._xlws.FILTER(_xlpm.data, _xlpm.mask, "No results")
)</f>
        <v>#NAME?</v>
      </c>
      <c r="H5" s="60"/>
      <c r="I5" s="59"/>
      <c r="J5" s="68"/>
      <c r="K5" s="69"/>
      <c r="L5" s="73"/>
      <c r="M5" s="69"/>
      <c r="N5" s="69"/>
      <c r="O5" s="69"/>
      <c r="P5" s="69"/>
      <c r="Q5" s="69"/>
      <c r="R5" s="69"/>
      <c r="S5" s="69"/>
      <c r="T5" s="69"/>
      <c r="U5" s="69"/>
      <c r="V5" s="61"/>
      <c r="W5" s="61"/>
      <c r="X5" s="61"/>
      <c r="Y5" s="62"/>
      <c r="Z5" s="62"/>
      <c r="AA5" s="81"/>
      <c r="AB5" s="81"/>
      <c r="AC5" s="81"/>
      <c r="AD5" s="81"/>
      <c r="AE5" s="81"/>
      <c r="AF5" s="81"/>
      <c r="AG5" s="81"/>
      <c r="AH5" s="81"/>
      <c r="AI5" s="63"/>
      <c r="AJ5" s="63"/>
      <c r="AK5" s="90"/>
      <c r="AL5" s="63"/>
      <c r="AM5" s="63"/>
      <c r="AN5" s="63"/>
      <c r="AO5" s="63"/>
      <c r="AP5" s="86"/>
      <c r="AQ5" s="86"/>
      <c r="AR5" s="86"/>
      <c r="AS5" s="86"/>
      <c r="AT5" s="86"/>
      <c r="AU5" s="86"/>
      <c r="AV5" s="86"/>
      <c r="AW5" s="86"/>
      <c r="AX5" s="86"/>
      <c r="AY5" s="86"/>
    </row>
    <row r="6" spans="1:51" x14ac:dyDescent="0.25">
      <c r="A6" s="58">
        <v>27</v>
      </c>
      <c r="B6" t="s">
        <v>273</v>
      </c>
      <c r="C6" s="75"/>
      <c r="D6" s="75"/>
      <c r="E6" s="74"/>
      <c r="G6" s="1"/>
      <c r="H6" s="2"/>
      <c r="I6" s="1"/>
      <c r="J6" s="70"/>
      <c r="K6" s="71"/>
      <c r="L6" s="72"/>
      <c r="M6" s="71"/>
      <c r="N6" s="71"/>
      <c r="O6" s="71"/>
      <c r="P6" s="71"/>
      <c r="Q6" s="71"/>
      <c r="R6" s="71"/>
      <c r="S6" s="71"/>
      <c r="T6" s="71"/>
      <c r="U6" s="71"/>
      <c r="V6" s="64"/>
      <c r="W6" s="64"/>
      <c r="X6" s="64"/>
      <c r="Y6" s="5"/>
      <c r="Z6" s="5"/>
      <c r="AA6" s="80"/>
      <c r="AB6" s="80"/>
      <c r="AC6" s="80"/>
      <c r="AD6" s="80"/>
      <c r="AE6" s="80"/>
      <c r="AF6" s="80"/>
      <c r="AG6" s="80"/>
      <c r="AH6" s="80"/>
      <c r="AI6" s="6"/>
      <c r="AJ6" s="6"/>
      <c r="AK6" s="91"/>
      <c r="AL6" s="6"/>
      <c r="AM6" s="6"/>
      <c r="AN6" s="6"/>
      <c r="AO6" s="6"/>
      <c r="AP6" s="86"/>
      <c r="AQ6" s="86"/>
      <c r="AR6" s="86"/>
      <c r="AS6" s="86"/>
      <c r="AT6" s="86"/>
      <c r="AU6" s="86"/>
      <c r="AV6" s="86"/>
      <c r="AW6" s="86"/>
      <c r="AX6" s="86"/>
      <c r="AY6" s="86"/>
    </row>
    <row r="7" spans="1:51" x14ac:dyDescent="0.25">
      <c r="A7" s="58">
        <v>31</v>
      </c>
      <c r="B7" t="s">
        <v>278</v>
      </c>
      <c r="C7" s="75"/>
      <c r="D7" s="75"/>
      <c r="E7" s="74"/>
      <c r="G7" s="1"/>
      <c r="H7" s="2"/>
      <c r="I7" s="1"/>
      <c r="J7" s="66"/>
      <c r="K7" s="67"/>
      <c r="L7" s="72"/>
      <c r="M7" s="67"/>
      <c r="N7" s="67"/>
      <c r="O7" s="67"/>
      <c r="P7" s="67"/>
      <c r="Q7" s="67"/>
      <c r="R7" s="67"/>
      <c r="S7" s="67"/>
      <c r="T7" s="67"/>
      <c r="U7" s="67"/>
      <c r="V7" s="4"/>
      <c r="W7" s="4"/>
      <c r="X7" s="4"/>
      <c r="Y7" s="5"/>
      <c r="Z7" s="5"/>
      <c r="AA7" s="80"/>
      <c r="AB7" s="80"/>
      <c r="AC7" s="80"/>
      <c r="AD7" s="80"/>
      <c r="AE7" s="80"/>
      <c r="AF7" s="80"/>
      <c r="AG7" s="80"/>
      <c r="AH7" s="80"/>
      <c r="AI7" s="6"/>
      <c r="AJ7" s="6"/>
      <c r="AK7" s="92"/>
      <c r="AL7" s="6"/>
      <c r="AM7" s="6"/>
      <c r="AN7" s="6"/>
      <c r="AO7" s="6"/>
      <c r="AP7" s="86"/>
      <c r="AQ7" s="86"/>
      <c r="AR7" s="86"/>
      <c r="AS7" s="86"/>
      <c r="AT7" s="86"/>
      <c r="AU7" s="86"/>
      <c r="AV7" s="86"/>
      <c r="AW7" s="86"/>
      <c r="AX7" s="86"/>
      <c r="AY7" s="86"/>
    </row>
    <row r="8" spans="1:51" x14ac:dyDescent="0.25">
      <c r="A8" s="58">
        <v>32</v>
      </c>
      <c r="B8" t="s">
        <v>280</v>
      </c>
      <c r="C8" s="74"/>
      <c r="D8" s="74"/>
      <c r="E8" s="74"/>
      <c r="G8" s="1"/>
      <c r="H8" s="2"/>
      <c r="I8" s="1"/>
      <c r="J8" s="66"/>
      <c r="K8" s="67"/>
      <c r="L8" s="72"/>
      <c r="M8" s="67"/>
      <c r="N8" s="67"/>
      <c r="O8" s="67"/>
      <c r="P8" s="67"/>
      <c r="Q8" s="67"/>
      <c r="R8" s="67"/>
      <c r="S8" s="67"/>
      <c r="T8" s="67"/>
      <c r="U8" s="67"/>
      <c r="V8" s="4"/>
      <c r="W8" s="4"/>
      <c r="X8" s="4"/>
      <c r="Y8" s="5"/>
      <c r="Z8" s="5"/>
      <c r="AA8" s="80"/>
      <c r="AB8" s="80"/>
      <c r="AC8" s="80"/>
      <c r="AD8" s="80"/>
      <c r="AE8" s="80"/>
      <c r="AF8" s="80"/>
      <c r="AG8" s="80"/>
      <c r="AH8" s="80"/>
      <c r="AI8" s="6"/>
      <c r="AJ8" s="6"/>
      <c r="AK8" s="92"/>
      <c r="AL8" s="6"/>
      <c r="AM8" s="6"/>
      <c r="AN8" s="6"/>
      <c r="AO8" s="6"/>
      <c r="AP8" s="86"/>
      <c r="AQ8" s="86"/>
      <c r="AR8" s="86"/>
      <c r="AS8" s="86"/>
      <c r="AT8" s="86"/>
      <c r="AU8" s="86"/>
      <c r="AV8" s="86"/>
      <c r="AW8" s="86"/>
      <c r="AX8" s="86"/>
      <c r="AY8" s="86"/>
    </row>
    <row r="9" spans="1:51" x14ac:dyDescent="0.25">
      <c r="A9" s="58">
        <v>34</v>
      </c>
      <c r="B9" t="s">
        <v>299</v>
      </c>
      <c r="C9" s="74"/>
      <c r="D9" s="74"/>
      <c r="E9" s="74"/>
      <c r="G9" s="1"/>
      <c r="H9" s="2"/>
      <c r="I9" s="1"/>
      <c r="J9" s="66"/>
      <c r="K9" s="67"/>
      <c r="L9" s="72"/>
      <c r="M9" s="67"/>
      <c r="N9" s="67"/>
      <c r="O9" s="67"/>
      <c r="P9" s="67"/>
      <c r="Q9" s="67"/>
      <c r="R9" s="67"/>
      <c r="S9" s="67"/>
      <c r="T9" s="67"/>
      <c r="U9" s="67"/>
      <c r="V9" s="4"/>
      <c r="W9" s="4"/>
      <c r="X9" s="4"/>
      <c r="Y9" s="5"/>
      <c r="Z9" s="5"/>
      <c r="AA9" s="80"/>
      <c r="AB9" s="80"/>
      <c r="AC9" s="80"/>
      <c r="AD9" s="80"/>
      <c r="AE9" s="80"/>
      <c r="AF9" s="80"/>
      <c r="AG9" s="80"/>
      <c r="AH9" s="80"/>
      <c r="AI9" s="6"/>
      <c r="AJ9" s="6"/>
      <c r="AK9" s="92"/>
      <c r="AL9" s="6"/>
      <c r="AM9" s="6"/>
      <c r="AN9" s="6"/>
      <c r="AO9" s="6"/>
      <c r="AP9" s="86"/>
      <c r="AQ9" s="86"/>
      <c r="AR9" s="86"/>
      <c r="AS9" s="86"/>
      <c r="AT9" s="86"/>
      <c r="AU9" s="86"/>
      <c r="AV9" s="86"/>
      <c r="AW9" s="86"/>
      <c r="AX9" s="86"/>
      <c r="AY9" s="86"/>
    </row>
    <row r="10" spans="1:51" x14ac:dyDescent="0.25">
      <c r="A10" s="58">
        <v>38</v>
      </c>
      <c r="B10" t="s">
        <v>327</v>
      </c>
      <c r="C10" s="74"/>
      <c r="D10" s="74"/>
      <c r="E10" s="74"/>
      <c r="G10" s="1"/>
      <c r="H10" s="2"/>
      <c r="I10" s="1"/>
      <c r="J10" s="66"/>
      <c r="K10" s="67"/>
      <c r="L10" s="72"/>
      <c r="M10" s="67"/>
      <c r="N10" s="67"/>
      <c r="O10" s="67"/>
      <c r="P10" s="67"/>
      <c r="Q10" s="67"/>
      <c r="R10" s="67"/>
      <c r="S10" s="67"/>
      <c r="T10" s="67"/>
      <c r="U10" s="67"/>
      <c r="V10" s="4"/>
      <c r="W10" s="4"/>
      <c r="X10" s="4"/>
      <c r="Y10" s="5"/>
      <c r="Z10" s="5"/>
      <c r="AA10" s="80"/>
      <c r="AB10" s="80"/>
      <c r="AC10" s="80"/>
      <c r="AD10" s="80"/>
      <c r="AE10" s="80"/>
      <c r="AF10" s="80"/>
      <c r="AG10" s="80"/>
      <c r="AH10" s="80"/>
      <c r="AI10" s="6"/>
      <c r="AJ10" s="6"/>
      <c r="AK10" s="83"/>
      <c r="AL10" s="6"/>
      <c r="AM10" s="6"/>
      <c r="AN10" s="6"/>
      <c r="AO10" s="6"/>
      <c r="AP10" s="86"/>
      <c r="AQ10" s="86"/>
      <c r="AR10" s="86"/>
      <c r="AS10" s="86"/>
      <c r="AT10" s="86"/>
      <c r="AU10" s="86"/>
      <c r="AV10" s="86"/>
      <c r="AW10" s="86"/>
      <c r="AX10" s="86"/>
      <c r="AY10" s="86"/>
    </row>
    <row r="11" spans="1:51" x14ac:dyDescent="0.25">
      <c r="A11" s="58">
        <v>42</v>
      </c>
      <c r="B11" t="s">
        <v>329</v>
      </c>
      <c r="C11" s="74"/>
      <c r="D11" s="74"/>
      <c r="E11" s="74"/>
      <c r="G11" s="1"/>
      <c r="H11" s="2"/>
      <c r="I11" s="1"/>
      <c r="J11" s="66"/>
      <c r="K11" s="67"/>
      <c r="L11" s="72"/>
      <c r="M11" s="67"/>
      <c r="N11" s="67"/>
      <c r="O11" s="67"/>
      <c r="P11" s="67"/>
      <c r="Q11" s="67"/>
      <c r="R11" s="67"/>
      <c r="S11" s="67"/>
      <c r="T11" s="67"/>
      <c r="U11" s="67"/>
      <c r="V11" s="4"/>
      <c r="W11" s="4"/>
      <c r="X11" s="4"/>
      <c r="Y11" s="5"/>
      <c r="Z11" s="5"/>
      <c r="AA11" s="80"/>
      <c r="AB11" s="80"/>
      <c r="AC11" s="80"/>
      <c r="AD11" s="80"/>
      <c r="AE11" s="80"/>
      <c r="AF11" s="80"/>
      <c r="AG11" s="80"/>
      <c r="AH11" s="80"/>
      <c r="AI11" s="6"/>
      <c r="AJ11" s="6"/>
      <c r="AK11" s="83"/>
      <c r="AL11" s="6"/>
      <c r="AM11" s="6"/>
      <c r="AN11" s="6"/>
      <c r="AO11" s="6"/>
      <c r="AP11" s="86"/>
      <c r="AQ11" s="86"/>
      <c r="AR11" s="86"/>
      <c r="AS11" s="86"/>
      <c r="AT11" s="86"/>
      <c r="AU11" s="86"/>
      <c r="AV11" s="86"/>
      <c r="AW11" s="86"/>
      <c r="AX11" s="86"/>
      <c r="AY11" s="86"/>
    </row>
    <row r="12" spans="1:51" x14ac:dyDescent="0.25">
      <c r="A12" s="58">
        <v>41</v>
      </c>
      <c r="B12" t="s">
        <v>330</v>
      </c>
      <c r="C12" s="74"/>
      <c r="D12" s="74"/>
      <c r="E12" s="74"/>
      <c r="G12" s="1"/>
      <c r="H12" s="2"/>
      <c r="I12" s="1"/>
      <c r="J12" s="66"/>
      <c r="K12" s="67"/>
      <c r="L12" s="72"/>
      <c r="M12" s="67"/>
      <c r="N12" s="67"/>
      <c r="O12" s="67"/>
      <c r="P12" s="67"/>
      <c r="Q12" s="67"/>
      <c r="R12" s="67"/>
      <c r="S12" s="67"/>
      <c r="T12" s="67"/>
      <c r="U12" s="67"/>
      <c r="V12" s="4"/>
      <c r="W12" s="4"/>
      <c r="X12" s="4"/>
      <c r="Y12" s="5"/>
      <c r="Z12" s="5"/>
      <c r="AA12" s="80"/>
      <c r="AB12" s="80"/>
      <c r="AC12" s="80"/>
      <c r="AD12" s="80"/>
      <c r="AE12" s="80"/>
      <c r="AF12" s="80"/>
      <c r="AG12" s="80"/>
      <c r="AH12" s="80"/>
      <c r="AI12" s="6"/>
      <c r="AJ12" s="6"/>
      <c r="AK12" s="83"/>
      <c r="AL12" s="6"/>
      <c r="AM12" s="6"/>
      <c r="AN12" s="6"/>
      <c r="AO12" s="6"/>
      <c r="AP12" s="86"/>
      <c r="AQ12" s="86"/>
      <c r="AR12" s="86"/>
      <c r="AS12" s="86"/>
      <c r="AT12" s="86"/>
      <c r="AU12" s="86"/>
      <c r="AV12" s="86"/>
      <c r="AW12" s="86"/>
      <c r="AX12" s="86"/>
      <c r="AY12" s="86"/>
    </row>
    <row r="13" spans="1:51" x14ac:dyDescent="0.25">
      <c r="A13" s="58">
        <v>44</v>
      </c>
      <c r="B13" t="s">
        <v>341</v>
      </c>
      <c r="C13" s="74"/>
      <c r="D13" s="74"/>
      <c r="E13" s="74" t="s">
        <v>399</v>
      </c>
      <c r="G13" s="1"/>
      <c r="H13" s="2"/>
      <c r="I13" s="1"/>
      <c r="J13" s="66"/>
      <c r="K13" s="67"/>
      <c r="L13" s="72"/>
      <c r="M13" s="67"/>
      <c r="N13" s="67"/>
      <c r="O13" s="67"/>
      <c r="P13" s="67"/>
      <c r="Q13" s="67"/>
      <c r="R13" s="67"/>
      <c r="S13" s="67"/>
      <c r="T13" s="67"/>
      <c r="U13" s="67"/>
      <c r="V13" s="4"/>
      <c r="W13" s="4"/>
      <c r="X13" s="4"/>
      <c r="Y13" s="5"/>
      <c r="Z13" s="5"/>
      <c r="AA13" s="80"/>
      <c r="AB13" s="80"/>
      <c r="AC13" s="80"/>
      <c r="AD13" s="80"/>
      <c r="AE13" s="80"/>
      <c r="AF13" s="80"/>
      <c r="AG13" s="80"/>
      <c r="AH13" s="80"/>
      <c r="AI13" s="6"/>
      <c r="AJ13" s="6"/>
      <c r="AK13" s="83"/>
      <c r="AL13" s="6"/>
      <c r="AM13" s="6"/>
      <c r="AN13" s="6"/>
      <c r="AO13" s="6"/>
      <c r="AP13" s="86"/>
      <c r="AQ13" s="86"/>
      <c r="AR13" s="86"/>
      <c r="AS13" s="86"/>
      <c r="AT13" s="86"/>
      <c r="AU13" s="86"/>
      <c r="AV13" s="86"/>
      <c r="AW13" s="86"/>
      <c r="AX13" s="86"/>
      <c r="AY13" s="86"/>
    </row>
    <row r="14" spans="1:51" x14ac:dyDescent="0.25">
      <c r="A14" s="58">
        <v>43</v>
      </c>
      <c r="B14" t="s">
        <v>332</v>
      </c>
      <c r="C14" s="74"/>
      <c r="D14" s="74"/>
      <c r="E14" s="74"/>
      <c r="G14" s="1"/>
      <c r="H14" s="2"/>
      <c r="I14" s="1"/>
      <c r="J14" s="66"/>
      <c r="K14" s="67"/>
      <c r="L14" s="72"/>
      <c r="M14" s="67"/>
      <c r="N14" s="67"/>
      <c r="O14" s="67"/>
      <c r="P14" s="67"/>
      <c r="Q14" s="67"/>
      <c r="R14" s="67"/>
      <c r="S14" s="67"/>
      <c r="T14" s="67"/>
      <c r="U14" s="67"/>
      <c r="V14" s="4"/>
      <c r="W14" s="4"/>
      <c r="X14" s="4"/>
      <c r="Y14" s="5"/>
      <c r="Z14" s="5"/>
      <c r="AA14" s="80"/>
      <c r="AB14" s="80"/>
      <c r="AC14" s="80"/>
      <c r="AD14" s="80"/>
      <c r="AE14" s="80"/>
      <c r="AF14" s="80"/>
      <c r="AG14" s="80"/>
      <c r="AH14" s="80"/>
      <c r="AI14" s="6"/>
      <c r="AJ14" s="6"/>
      <c r="AK14" s="83"/>
      <c r="AL14" s="6"/>
      <c r="AM14" s="6"/>
      <c r="AN14" s="6"/>
      <c r="AO14" s="6"/>
      <c r="AP14" s="86"/>
      <c r="AQ14" s="86"/>
      <c r="AR14" s="86"/>
      <c r="AS14" s="86"/>
      <c r="AT14" s="86"/>
      <c r="AU14" s="86"/>
      <c r="AV14" s="86"/>
      <c r="AW14" s="86"/>
      <c r="AX14" s="86"/>
      <c r="AY14" s="86"/>
    </row>
    <row r="15" spans="1:51" x14ac:dyDescent="0.25">
      <c r="A15" s="58">
        <v>45</v>
      </c>
      <c r="B15" t="s">
        <v>394</v>
      </c>
      <c r="G15" s="1"/>
      <c r="H15" s="2"/>
      <c r="I15" s="1"/>
      <c r="J15" s="66"/>
      <c r="K15" s="67"/>
      <c r="L15" s="72"/>
      <c r="M15" s="67"/>
      <c r="N15" s="67"/>
      <c r="O15" s="67"/>
      <c r="P15" s="67"/>
      <c r="Q15" s="67"/>
      <c r="R15" s="67"/>
      <c r="S15" s="67"/>
      <c r="T15" s="67"/>
      <c r="U15" s="67"/>
      <c r="V15" s="4"/>
      <c r="W15" s="4"/>
      <c r="X15" s="4"/>
      <c r="Y15" s="5"/>
      <c r="Z15" s="5"/>
      <c r="AA15" s="80"/>
      <c r="AB15" s="80"/>
      <c r="AC15" s="80"/>
      <c r="AD15" s="80"/>
      <c r="AE15" s="80"/>
      <c r="AF15" s="80"/>
      <c r="AG15" s="80"/>
      <c r="AH15" s="80"/>
      <c r="AI15" s="6"/>
      <c r="AJ15" s="6"/>
      <c r="AK15" s="83"/>
      <c r="AL15" s="6"/>
      <c r="AM15" s="6"/>
      <c r="AN15" s="6"/>
      <c r="AO15" s="6"/>
      <c r="AP15" s="86"/>
      <c r="AQ15" s="86"/>
      <c r="AR15" s="86"/>
      <c r="AS15" s="86"/>
      <c r="AT15" s="86"/>
      <c r="AU15" s="86"/>
      <c r="AV15" s="86"/>
      <c r="AW15" s="86"/>
      <c r="AX15" s="86"/>
      <c r="AY15" s="86"/>
    </row>
    <row r="16" spans="1:51" x14ac:dyDescent="0.25">
      <c r="G16" s="1"/>
      <c r="H16" s="2"/>
      <c r="I16" s="1"/>
      <c r="J16" s="66"/>
      <c r="K16" s="67"/>
      <c r="L16" s="72"/>
      <c r="M16" s="67"/>
      <c r="N16" s="67"/>
      <c r="O16" s="67"/>
      <c r="P16" s="67"/>
      <c r="Q16" s="67"/>
      <c r="R16" s="67"/>
      <c r="S16" s="67"/>
      <c r="T16" s="67"/>
      <c r="U16" s="67"/>
      <c r="V16" s="4"/>
      <c r="W16" s="4"/>
      <c r="X16" s="4"/>
      <c r="Y16" s="5"/>
      <c r="Z16" s="5"/>
      <c r="AA16" s="80"/>
      <c r="AB16" s="80"/>
      <c r="AC16" s="80"/>
      <c r="AD16" s="80"/>
      <c r="AE16" s="80"/>
      <c r="AF16" s="80"/>
      <c r="AG16" s="80"/>
      <c r="AH16" s="80"/>
      <c r="AI16" s="6"/>
      <c r="AJ16" s="6"/>
      <c r="AK16" s="83"/>
      <c r="AL16" s="6"/>
      <c r="AM16" s="6"/>
      <c r="AN16" s="6"/>
      <c r="AO16" s="6"/>
      <c r="AP16" s="86"/>
      <c r="AQ16" s="86"/>
      <c r="AR16" s="86"/>
      <c r="AS16" s="86"/>
      <c r="AT16" s="86"/>
      <c r="AU16" s="86"/>
      <c r="AV16" s="86"/>
      <c r="AW16" s="86"/>
      <c r="AX16" s="86"/>
      <c r="AY16" s="86"/>
    </row>
    <row r="17" spans="7:51" x14ac:dyDescent="0.25">
      <c r="G17" s="1"/>
      <c r="H17" s="2"/>
      <c r="I17" s="1"/>
      <c r="J17" s="66"/>
      <c r="K17" s="67"/>
      <c r="L17" s="72"/>
      <c r="M17" s="67"/>
      <c r="N17" s="67"/>
      <c r="O17" s="67"/>
      <c r="P17" s="67"/>
      <c r="Q17" s="67"/>
      <c r="R17" s="67"/>
      <c r="S17" s="67"/>
      <c r="T17" s="67"/>
      <c r="U17" s="67"/>
      <c r="V17" s="4"/>
      <c r="W17" s="4"/>
      <c r="X17" s="4"/>
      <c r="Y17" s="5"/>
      <c r="Z17" s="5"/>
      <c r="AA17" s="80"/>
      <c r="AB17" s="80"/>
      <c r="AC17" s="80"/>
      <c r="AD17" s="80"/>
      <c r="AE17" s="80"/>
      <c r="AF17" s="80"/>
      <c r="AG17" s="80"/>
      <c r="AH17" s="80"/>
      <c r="AI17" s="6"/>
      <c r="AJ17" s="6"/>
      <c r="AK17" s="83"/>
      <c r="AL17" s="6"/>
      <c r="AM17" s="6"/>
      <c r="AN17" s="6"/>
      <c r="AO17" s="6"/>
      <c r="AP17" s="86"/>
      <c r="AQ17" s="86"/>
      <c r="AR17" s="86"/>
      <c r="AS17" s="86"/>
      <c r="AT17" s="86"/>
      <c r="AU17" s="86"/>
      <c r="AV17" s="86"/>
      <c r="AW17" s="86"/>
      <c r="AX17" s="86"/>
      <c r="AY17" s="86"/>
    </row>
    <row r="18" spans="7:51" s="8" customFormat="1" ht="12.75" x14ac:dyDescent="0.2">
      <c r="G18" s="1"/>
      <c r="H18" s="2"/>
      <c r="I18" s="1"/>
      <c r="J18" s="66"/>
      <c r="K18" s="67"/>
      <c r="L18" s="72"/>
      <c r="M18" s="67"/>
      <c r="N18" s="67"/>
      <c r="O18" s="67"/>
      <c r="P18" s="67"/>
      <c r="Q18" s="67"/>
      <c r="R18" s="67"/>
      <c r="S18" s="67"/>
      <c r="T18" s="67"/>
      <c r="U18" s="67"/>
      <c r="V18" s="4"/>
      <c r="W18" s="4"/>
      <c r="X18" s="4"/>
      <c r="Y18" s="5"/>
      <c r="Z18" s="5"/>
      <c r="AA18" s="80"/>
      <c r="AB18" s="80"/>
      <c r="AC18" s="80"/>
      <c r="AD18" s="80"/>
      <c r="AE18" s="80"/>
      <c r="AF18" s="80"/>
      <c r="AG18" s="80"/>
      <c r="AH18" s="80"/>
      <c r="AI18" s="6"/>
      <c r="AJ18" s="6"/>
      <c r="AK18" s="83"/>
      <c r="AL18" s="6"/>
      <c r="AM18" s="6"/>
      <c r="AN18" s="6"/>
      <c r="AO18" s="6"/>
      <c r="AP18" s="86"/>
      <c r="AQ18" s="86"/>
      <c r="AR18" s="86"/>
      <c r="AS18" s="86"/>
      <c r="AT18" s="86"/>
      <c r="AU18" s="86"/>
      <c r="AV18" s="86"/>
      <c r="AW18" s="86"/>
      <c r="AX18" s="86"/>
      <c r="AY18" s="86"/>
    </row>
    <row r="19" spans="7:51" s="8" customFormat="1" ht="12.75" x14ac:dyDescent="0.2">
      <c r="G19" s="1"/>
      <c r="H19" s="2"/>
      <c r="I19" s="1"/>
      <c r="J19" s="66"/>
      <c r="K19" s="67"/>
      <c r="L19" s="72"/>
      <c r="M19" s="67"/>
      <c r="N19" s="67"/>
      <c r="O19" s="67"/>
      <c r="P19" s="67"/>
      <c r="Q19" s="67"/>
      <c r="R19" s="67"/>
      <c r="S19" s="67"/>
      <c r="T19" s="67"/>
      <c r="U19" s="67"/>
      <c r="V19" s="4"/>
      <c r="W19" s="4"/>
      <c r="X19" s="4"/>
      <c r="Y19" s="5"/>
      <c r="Z19" s="5"/>
      <c r="AA19" s="80"/>
      <c r="AB19" s="80"/>
      <c r="AC19" s="80"/>
      <c r="AD19" s="80"/>
      <c r="AE19" s="80"/>
      <c r="AF19" s="80"/>
      <c r="AG19" s="80"/>
      <c r="AH19" s="80"/>
      <c r="AI19" s="6"/>
      <c r="AJ19" s="6"/>
      <c r="AK19" s="83"/>
      <c r="AL19" s="6"/>
      <c r="AM19" s="6"/>
      <c r="AN19" s="6"/>
      <c r="AO19" s="6"/>
      <c r="AP19" s="86"/>
      <c r="AQ19" s="86"/>
      <c r="AR19" s="86"/>
      <c r="AS19" s="86"/>
      <c r="AT19" s="86"/>
      <c r="AU19" s="86"/>
      <c r="AV19" s="86"/>
      <c r="AW19" s="86"/>
      <c r="AX19" s="86"/>
      <c r="AY19" s="86"/>
    </row>
    <row r="20" spans="7:51" s="8" customFormat="1" ht="12.75" x14ac:dyDescent="0.2">
      <c r="G20" s="1"/>
      <c r="H20" s="2"/>
      <c r="I20" s="1"/>
      <c r="J20" s="66"/>
      <c r="K20" s="67"/>
      <c r="L20" s="72"/>
      <c r="M20" s="67"/>
      <c r="N20" s="67"/>
      <c r="O20" s="67"/>
      <c r="P20" s="67"/>
      <c r="Q20" s="67"/>
      <c r="R20" s="67"/>
      <c r="S20" s="67"/>
      <c r="T20" s="67"/>
      <c r="U20" s="67"/>
      <c r="V20" s="4"/>
      <c r="W20" s="4"/>
      <c r="X20" s="4"/>
      <c r="Y20" s="5"/>
      <c r="Z20" s="5"/>
      <c r="AA20" s="80"/>
      <c r="AB20" s="80"/>
      <c r="AC20" s="80"/>
      <c r="AD20" s="80"/>
      <c r="AE20" s="80"/>
      <c r="AF20" s="80"/>
      <c r="AG20" s="80"/>
      <c r="AH20" s="80"/>
      <c r="AI20" s="6"/>
      <c r="AJ20" s="6"/>
      <c r="AK20" s="83"/>
      <c r="AL20" s="6"/>
      <c r="AM20" s="6"/>
      <c r="AN20" s="6"/>
      <c r="AO20" s="6"/>
      <c r="AP20" s="86"/>
      <c r="AQ20" s="86"/>
      <c r="AR20" s="86"/>
      <c r="AS20" s="86"/>
      <c r="AT20" s="86"/>
      <c r="AU20" s="86"/>
      <c r="AV20" s="86"/>
      <c r="AW20" s="86"/>
      <c r="AX20" s="86"/>
      <c r="AY20" s="86"/>
    </row>
    <row r="21" spans="7:51" s="8" customFormat="1" ht="12.75" x14ac:dyDescent="0.2">
      <c r="G21" s="1"/>
      <c r="H21" s="2"/>
      <c r="I21" s="1"/>
      <c r="J21" s="66"/>
      <c r="K21" s="67"/>
      <c r="L21" s="72"/>
      <c r="M21" s="67"/>
      <c r="N21" s="67"/>
      <c r="O21" s="67"/>
      <c r="P21" s="67"/>
      <c r="Q21" s="67"/>
      <c r="R21" s="67"/>
      <c r="S21" s="67"/>
      <c r="T21" s="67"/>
      <c r="U21" s="67"/>
      <c r="V21" s="4"/>
      <c r="W21" s="4"/>
      <c r="X21" s="4"/>
      <c r="Y21" s="5"/>
      <c r="Z21" s="5"/>
      <c r="AA21" s="80"/>
      <c r="AB21" s="80"/>
      <c r="AC21" s="80"/>
      <c r="AD21" s="80"/>
      <c r="AE21" s="80"/>
      <c r="AF21" s="80"/>
      <c r="AG21" s="80"/>
      <c r="AH21" s="80"/>
      <c r="AI21" s="6"/>
      <c r="AJ21" s="6"/>
      <c r="AK21" s="83"/>
      <c r="AL21" s="6"/>
      <c r="AM21" s="6"/>
      <c r="AN21" s="6"/>
      <c r="AO21" s="6"/>
      <c r="AP21" s="86"/>
      <c r="AQ21" s="86"/>
      <c r="AR21" s="86"/>
      <c r="AS21" s="86"/>
      <c r="AT21" s="86"/>
      <c r="AU21" s="86"/>
      <c r="AV21" s="86"/>
      <c r="AW21" s="86"/>
      <c r="AX21" s="86"/>
      <c r="AY21" s="86"/>
    </row>
    <row r="22" spans="7:51" s="8" customFormat="1" ht="12.75" x14ac:dyDescent="0.2">
      <c r="G22" s="1"/>
      <c r="H22" s="2"/>
      <c r="I22" s="1"/>
      <c r="J22" s="66"/>
      <c r="K22" s="67"/>
      <c r="L22" s="72"/>
      <c r="M22" s="67"/>
      <c r="N22" s="67"/>
      <c r="O22" s="67"/>
      <c r="P22" s="67"/>
      <c r="Q22" s="67"/>
      <c r="R22" s="67"/>
      <c r="S22" s="67"/>
      <c r="T22" s="67"/>
      <c r="U22" s="67"/>
      <c r="V22" s="4"/>
      <c r="W22" s="4"/>
      <c r="X22" s="4"/>
      <c r="Y22" s="5"/>
      <c r="Z22" s="5"/>
      <c r="AA22" s="80"/>
      <c r="AB22" s="80"/>
      <c r="AC22" s="80"/>
      <c r="AD22" s="80"/>
      <c r="AE22" s="80"/>
      <c r="AF22" s="80"/>
      <c r="AG22" s="80"/>
      <c r="AH22" s="80"/>
      <c r="AI22" s="6"/>
      <c r="AJ22" s="6"/>
      <c r="AK22" s="83"/>
      <c r="AL22" s="6"/>
      <c r="AM22" s="6"/>
      <c r="AN22" s="6"/>
      <c r="AO22" s="6"/>
      <c r="AP22" s="86"/>
      <c r="AQ22" s="86"/>
      <c r="AR22" s="86"/>
      <c r="AS22" s="86"/>
      <c r="AT22" s="86"/>
      <c r="AU22" s="86"/>
      <c r="AV22" s="86"/>
      <c r="AW22" s="86"/>
      <c r="AX22" s="86"/>
      <c r="AY22" s="86"/>
    </row>
    <row r="23" spans="7:51" s="8" customFormat="1" ht="12.75" x14ac:dyDescent="0.2">
      <c r="G23" s="1"/>
      <c r="H23" s="2"/>
      <c r="I23" s="1"/>
      <c r="J23" s="66"/>
      <c r="K23" s="67"/>
      <c r="L23" s="72"/>
      <c r="M23" s="67"/>
      <c r="N23" s="67"/>
      <c r="O23" s="67"/>
      <c r="P23" s="67"/>
      <c r="Q23" s="67"/>
      <c r="R23" s="67"/>
      <c r="S23" s="67"/>
      <c r="T23" s="67"/>
      <c r="U23" s="67"/>
      <c r="V23" s="4"/>
      <c r="W23" s="4"/>
      <c r="X23" s="4"/>
      <c r="Y23" s="5"/>
      <c r="Z23" s="5"/>
      <c r="AA23" s="80"/>
      <c r="AB23" s="80"/>
      <c r="AC23" s="80"/>
      <c r="AD23" s="80"/>
      <c r="AE23" s="80"/>
      <c r="AF23" s="80"/>
      <c r="AG23" s="80"/>
      <c r="AH23" s="80"/>
      <c r="AI23" s="6"/>
      <c r="AJ23" s="6"/>
      <c r="AK23" s="83"/>
      <c r="AL23" s="6"/>
      <c r="AM23" s="6"/>
      <c r="AN23" s="6"/>
      <c r="AO23" s="6"/>
      <c r="AP23" s="86"/>
      <c r="AQ23" s="86"/>
      <c r="AR23" s="86"/>
      <c r="AS23" s="86"/>
      <c r="AT23" s="86"/>
      <c r="AU23" s="86"/>
      <c r="AV23" s="86"/>
      <c r="AW23" s="86"/>
      <c r="AX23" s="86"/>
      <c r="AY23" s="86"/>
    </row>
    <row r="24" spans="7:51" s="8" customFormat="1" ht="12.75" x14ac:dyDescent="0.2">
      <c r="G24" s="1"/>
      <c r="H24" s="2"/>
      <c r="I24" s="1"/>
      <c r="J24" s="66"/>
      <c r="K24" s="67"/>
      <c r="L24" s="72"/>
      <c r="M24" s="67"/>
      <c r="N24" s="67"/>
      <c r="O24" s="67"/>
      <c r="P24" s="67"/>
      <c r="Q24" s="67"/>
      <c r="R24" s="67"/>
      <c r="S24" s="67"/>
      <c r="T24" s="67"/>
      <c r="U24" s="67"/>
      <c r="V24" s="4"/>
      <c r="W24" s="4"/>
      <c r="X24" s="4"/>
      <c r="Y24" s="5"/>
      <c r="Z24" s="5"/>
      <c r="AA24" s="80"/>
      <c r="AB24" s="80"/>
      <c r="AC24" s="80"/>
      <c r="AD24" s="80"/>
      <c r="AE24" s="80"/>
      <c r="AF24" s="80"/>
      <c r="AG24" s="80"/>
      <c r="AH24" s="80"/>
      <c r="AI24" s="6"/>
      <c r="AJ24" s="6"/>
      <c r="AK24" s="83"/>
      <c r="AL24" s="6"/>
      <c r="AM24" s="6"/>
      <c r="AN24" s="6"/>
      <c r="AO24" s="6"/>
      <c r="AP24" s="86"/>
      <c r="AQ24" s="86"/>
      <c r="AR24" s="86"/>
      <c r="AS24" s="86"/>
      <c r="AT24" s="86"/>
      <c r="AU24" s="86"/>
      <c r="AV24" s="86"/>
      <c r="AW24" s="86"/>
      <c r="AX24" s="86"/>
      <c r="AY24" s="86"/>
    </row>
    <row r="25" spans="7:51" s="8" customFormat="1" ht="12.75" x14ac:dyDescent="0.2">
      <c r="G25" s="1"/>
      <c r="H25" s="2"/>
      <c r="I25" s="1"/>
      <c r="J25" s="66"/>
      <c r="K25" s="67"/>
      <c r="L25" s="72"/>
      <c r="M25" s="67"/>
      <c r="N25" s="67"/>
      <c r="O25" s="67"/>
      <c r="P25" s="67"/>
      <c r="Q25" s="67"/>
      <c r="R25" s="67"/>
      <c r="S25" s="67"/>
      <c r="T25" s="67"/>
      <c r="U25" s="67"/>
      <c r="V25" s="4"/>
      <c r="W25" s="4"/>
      <c r="X25" s="4"/>
      <c r="Y25" s="5"/>
      <c r="Z25" s="5"/>
      <c r="AA25" s="80"/>
      <c r="AB25" s="80"/>
      <c r="AC25" s="80"/>
      <c r="AD25" s="80"/>
      <c r="AE25" s="80"/>
      <c r="AF25" s="80"/>
      <c r="AG25" s="80"/>
      <c r="AH25" s="80"/>
      <c r="AI25" s="6"/>
      <c r="AJ25" s="6"/>
      <c r="AK25" s="83"/>
      <c r="AL25" s="6"/>
      <c r="AM25" s="6"/>
      <c r="AN25" s="6"/>
      <c r="AO25" s="6"/>
      <c r="AP25" s="86"/>
      <c r="AQ25" s="86"/>
      <c r="AR25" s="86"/>
      <c r="AS25" s="86"/>
      <c r="AT25" s="86"/>
      <c r="AU25" s="86"/>
      <c r="AV25" s="86"/>
      <c r="AW25" s="86"/>
      <c r="AX25" s="86"/>
      <c r="AY25" s="86"/>
    </row>
    <row r="26" spans="7:51" s="8" customFormat="1" ht="12.75" x14ac:dyDescent="0.2">
      <c r="G26" s="1"/>
      <c r="H26" s="2"/>
      <c r="I26" s="1"/>
      <c r="J26" s="66"/>
      <c r="K26" s="67"/>
      <c r="L26" s="72"/>
      <c r="M26" s="67"/>
      <c r="N26" s="67"/>
      <c r="O26" s="67"/>
      <c r="P26" s="67"/>
      <c r="Q26" s="67"/>
      <c r="R26" s="67"/>
      <c r="S26" s="67"/>
      <c r="T26" s="67"/>
      <c r="U26" s="67"/>
      <c r="V26" s="4"/>
      <c r="W26" s="4"/>
      <c r="X26" s="4"/>
      <c r="Y26" s="5"/>
      <c r="Z26" s="5"/>
      <c r="AA26" s="80"/>
      <c r="AB26" s="80"/>
      <c r="AC26" s="80"/>
      <c r="AD26" s="80"/>
      <c r="AE26" s="80"/>
      <c r="AF26" s="80"/>
      <c r="AG26" s="80"/>
      <c r="AH26" s="80"/>
      <c r="AI26" s="6"/>
      <c r="AJ26" s="6"/>
      <c r="AK26" s="83"/>
      <c r="AL26" s="6"/>
      <c r="AM26" s="6"/>
      <c r="AN26" s="6"/>
      <c r="AO26" s="6"/>
      <c r="AP26" s="86"/>
      <c r="AQ26" s="86"/>
      <c r="AR26" s="86"/>
      <c r="AS26" s="86"/>
      <c r="AT26" s="86"/>
      <c r="AU26" s="86"/>
      <c r="AV26" s="86"/>
      <c r="AW26" s="86"/>
      <c r="AX26" s="86"/>
      <c r="AY26" s="86"/>
    </row>
    <row r="27" spans="7:51" s="8" customFormat="1" ht="12.75" x14ac:dyDescent="0.2">
      <c r="G27" s="1"/>
      <c r="H27" s="2"/>
      <c r="I27" s="1"/>
      <c r="J27" s="66"/>
      <c r="K27" s="67"/>
      <c r="L27" s="72"/>
      <c r="M27" s="67"/>
      <c r="N27" s="67"/>
      <c r="O27" s="67"/>
      <c r="P27" s="67"/>
      <c r="Q27" s="67"/>
      <c r="R27" s="67"/>
      <c r="S27" s="67"/>
      <c r="T27" s="67"/>
      <c r="U27" s="67"/>
      <c r="V27" s="4"/>
      <c r="W27" s="4"/>
      <c r="X27" s="4"/>
      <c r="Y27" s="5"/>
      <c r="Z27" s="5"/>
      <c r="AA27" s="80"/>
      <c r="AB27" s="80"/>
      <c r="AC27" s="80"/>
      <c r="AD27" s="80"/>
      <c r="AE27" s="80"/>
      <c r="AF27" s="80"/>
      <c r="AG27" s="80"/>
      <c r="AH27" s="80"/>
      <c r="AI27" s="6"/>
      <c r="AJ27" s="6"/>
      <c r="AK27" s="83"/>
      <c r="AL27" s="6"/>
      <c r="AM27" s="6"/>
      <c r="AN27" s="6"/>
      <c r="AO27" s="6"/>
      <c r="AP27" s="86"/>
      <c r="AQ27" s="86"/>
      <c r="AR27" s="86"/>
      <c r="AS27" s="86"/>
      <c r="AT27" s="86"/>
      <c r="AU27" s="86"/>
      <c r="AV27" s="86"/>
      <c r="AW27" s="86"/>
      <c r="AX27" s="86"/>
      <c r="AY27" s="86"/>
    </row>
    <row r="28" spans="7:51" s="8" customFormat="1" ht="12.75" x14ac:dyDescent="0.2">
      <c r="G28" s="1"/>
      <c r="H28" s="2"/>
      <c r="I28" s="1"/>
      <c r="J28" s="66"/>
      <c r="K28" s="67"/>
      <c r="L28" s="72"/>
      <c r="M28" s="67"/>
      <c r="N28" s="67"/>
      <c r="O28" s="67"/>
      <c r="P28" s="67"/>
      <c r="Q28" s="67"/>
      <c r="R28" s="67"/>
      <c r="S28" s="67"/>
      <c r="T28" s="67"/>
      <c r="U28" s="67"/>
      <c r="V28" s="4"/>
      <c r="W28" s="4"/>
      <c r="X28" s="4"/>
      <c r="Y28" s="5"/>
      <c r="Z28" s="5"/>
      <c r="AA28" s="80"/>
      <c r="AB28" s="80"/>
      <c r="AC28" s="80"/>
      <c r="AD28" s="80"/>
      <c r="AE28" s="80"/>
      <c r="AF28" s="80"/>
      <c r="AG28" s="80"/>
      <c r="AH28" s="80"/>
      <c r="AI28" s="6"/>
      <c r="AJ28" s="6"/>
      <c r="AK28" s="83"/>
      <c r="AL28" s="6"/>
      <c r="AM28" s="6"/>
      <c r="AN28" s="6"/>
      <c r="AO28" s="6"/>
      <c r="AP28" s="86"/>
      <c r="AQ28" s="86"/>
      <c r="AR28" s="86"/>
      <c r="AS28" s="86"/>
      <c r="AT28" s="86"/>
      <c r="AU28" s="86"/>
      <c r="AV28" s="86"/>
      <c r="AW28" s="86"/>
      <c r="AX28" s="86"/>
      <c r="AY28" s="86"/>
    </row>
    <row r="29" spans="7:51" s="8" customFormat="1" ht="12.75" x14ac:dyDescent="0.2">
      <c r="G29" s="1"/>
      <c r="H29" s="2"/>
      <c r="I29" s="1"/>
      <c r="J29" s="66"/>
      <c r="K29" s="67"/>
      <c r="L29" s="72"/>
      <c r="M29" s="67"/>
      <c r="N29" s="67"/>
      <c r="O29" s="67"/>
      <c r="P29" s="67"/>
      <c r="Q29" s="67"/>
      <c r="R29" s="67"/>
      <c r="S29" s="67"/>
      <c r="T29" s="67"/>
      <c r="U29" s="67"/>
      <c r="V29" s="4"/>
      <c r="W29" s="4"/>
      <c r="X29" s="4"/>
      <c r="Y29" s="5"/>
      <c r="Z29" s="5"/>
      <c r="AA29" s="80"/>
      <c r="AB29" s="80"/>
      <c r="AC29" s="80"/>
      <c r="AD29" s="80"/>
      <c r="AE29" s="80"/>
      <c r="AF29" s="80"/>
      <c r="AG29" s="80"/>
      <c r="AH29" s="80"/>
      <c r="AI29" s="6"/>
      <c r="AJ29" s="6"/>
      <c r="AK29" s="83"/>
      <c r="AL29" s="6"/>
      <c r="AM29" s="6"/>
      <c r="AN29" s="6"/>
      <c r="AO29" s="6"/>
      <c r="AP29" s="86"/>
      <c r="AQ29" s="86"/>
      <c r="AR29" s="86"/>
      <c r="AS29" s="86"/>
      <c r="AT29" s="86"/>
      <c r="AU29" s="86"/>
      <c r="AV29" s="86"/>
      <c r="AW29" s="86"/>
      <c r="AX29" s="86"/>
      <c r="AY29" s="86"/>
    </row>
    <row r="30" spans="7:51" s="8" customFormat="1" ht="12.75" x14ac:dyDescent="0.2">
      <c r="G30" s="1"/>
      <c r="H30" s="2"/>
      <c r="I30" s="1"/>
      <c r="J30" s="66"/>
      <c r="K30" s="67"/>
      <c r="L30" s="72"/>
      <c r="M30" s="67"/>
      <c r="N30" s="67"/>
      <c r="O30" s="67"/>
      <c r="P30" s="67"/>
      <c r="Q30" s="67"/>
      <c r="R30" s="67"/>
      <c r="S30" s="67"/>
      <c r="T30" s="67"/>
      <c r="U30" s="67"/>
      <c r="V30" s="4"/>
      <c r="W30" s="4"/>
      <c r="X30" s="4"/>
      <c r="Y30" s="5"/>
      <c r="Z30" s="5"/>
      <c r="AA30" s="80"/>
      <c r="AB30" s="80"/>
      <c r="AC30" s="80"/>
      <c r="AD30" s="80"/>
      <c r="AE30" s="80"/>
      <c r="AF30" s="80"/>
      <c r="AG30" s="80"/>
      <c r="AH30" s="80"/>
      <c r="AI30" s="6"/>
      <c r="AJ30" s="6"/>
      <c r="AK30" s="83"/>
      <c r="AL30" s="6"/>
      <c r="AM30" s="6"/>
      <c r="AN30" s="6"/>
      <c r="AO30" s="6"/>
      <c r="AP30" s="86"/>
      <c r="AQ30" s="86"/>
      <c r="AR30" s="86"/>
      <c r="AS30" s="86"/>
      <c r="AT30" s="86"/>
      <c r="AU30" s="86"/>
      <c r="AV30" s="86"/>
      <c r="AW30" s="86"/>
      <c r="AX30" s="86"/>
      <c r="AY30" s="86"/>
    </row>
    <row r="31" spans="7:51" s="8" customFormat="1" ht="12.75" x14ac:dyDescent="0.2">
      <c r="G31" s="1"/>
      <c r="H31" s="2"/>
      <c r="I31" s="1"/>
      <c r="J31" s="66"/>
      <c r="K31" s="67"/>
      <c r="L31" s="72"/>
      <c r="M31" s="67"/>
      <c r="N31" s="67"/>
      <c r="O31" s="67"/>
      <c r="P31" s="67"/>
      <c r="Q31" s="67"/>
      <c r="R31" s="67"/>
      <c r="S31" s="67"/>
      <c r="T31" s="67"/>
      <c r="U31" s="67"/>
      <c r="V31" s="4"/>
      <c r="W31" s="4"/>
      <c r="X31" s="4"/>
      <c r="Y31" s="5"/>
      <c r="Z31" s="5"/>
      <c r="AA31" s="80"/>
      <c r="AB31" s="80"/>
      <c r="AC31" s="80"/>
      <c r="AD31" s="80"/>
      <c r="AE31" s="80"/>
      <c r="AF31" s="80"/>
      <c r="AG31" s="80"/>
      <c r="AH31" s="80"/>
      <c r="AI31" s="6"/>
      <c r="AJ31" s="6"/>
      <c r="AK31" s="83"/>
      <c r="AL31" s="6"/>
      <c r="AM31" s="6"/>
      <c r="AN31" s="6"/>
      <c r="AO31" s="6"/>
      <c r="AP31" s="86"/>
      <c r="AQ31" s="86"/>
      <c r="AR31" s="86"/>
      <c r="AS31" s="86"/>
      <c r="AT31" s="86"/>
      <c r="AU31" s="86"/>
      <c r="AV31" s="86"/>
      <c r="AW31" s="86"/>
      <c r="AX31" s="86"/>
      <c r="AY31" s="86"/>
    </row>
    <row r="32" spans="7:51" s="8" customFormat="1" ht="12.75" x14ac:dyDescent="0.2">
      <c r="G32" s="1"/>
      <c r="H32" s="2"/>
      <c r="I32" s="1"/>
      <c r="J32" s="66"/>
      <c r="K32" s="67"/>
      <c r="L32" s="72"/>
      <c r="M32" s="67"/>
      <c r="N32" s="67"/>
      <c r="O32" s="67"/>
      <c r="P32" s="67"/>
      <c r="Q32" s="67"/>
      <c r="R32" s="67"/>
      <c r="S32" s="67"/>
      <c r="T32" s="67"/>
      <c r="U32" s="67"/>
      <c r="V32" s="4"/>
      <c r="W32" s="4"/>
      <c r="X32" s="4"/>
      <c r="Y32" s="5"/>
      <c r="Z32" s="5"/>
      <c r="AA32" s="80"/>
      <c r="AB32" s="80"/>
      <c r="AC32" s="80"/>
      <c r="AD32" s="80"/>
      <c r="AE32" s="80"/>
      <c r="AF32" s="80"/>
      <c r="AG32" s="80"/>
      <c r="AH32" s="80"/>
      <c r="AI32" s="6"/>
      <c r="AJ32" s="6"/>
      <c r="AK32" s="83"/>
      <c r="AL32" s="6"/>
      <c r="AM32" s="6"/>
      <c r="AN32" s="6"/>
      <c r="AO32" s="6"/>
      <c r="AP32" s="86"/>
      <c r="AQ32" s="86"/>
      <c r="AR32" s="86"/>
      <c r="AS32" s="86"/>
      <c r="AT32" s="86"/>
      <c r="AU32" s="86"/>
      <c r="AV32" s="86"/>
      <c r="AW32" s="86"/>
      <c r="AX32" s="86"/>
      <c r="AY32" s="86"/>
    </row>
    <row r="33" spans="7:51" s="8" customFormat="1" ht="12.75" x14ac:dyDescent="0.2">
      <c r="G33" s="1"/>
      <c r="H33" s="2"/>
      <c r="I33" s="1"/>
      <c r="J33" s="66"/>
      <c r="K33" s="67"/>
      <c r="L33" s="72"/>
      <c r="M33" s="67"/>
      <c r="N33" s="67"/>
      <c r="O33" s="67"/>
      <c r="P33" s="67"/>
      <c r="Q33" s="67"/>
      <c r="R33" s="67"/>
      <c r="S33" s="67"/>
      <c r="T33" s="67"/>
      <c r="U33" s="67"/>
      <c r="V33" s="4"/>
      <c r="W33" s="4"/>
      <c r="X33" s="4"/>
      <c r="Y33" s="5"/>
      <c r="Z33" s="5"/>
      <c r="AA33" s="80"/>
      <c r="AB33" s="80"/>
      <c r="AC33" s="80"/>
      <c r="AD33" s="80"/>
      <c r="AE33" s="80"/>
      <c r="AF33" s="80"/>
      <c r="AG33" s="80"/>
      <c r="AH33" s="80"/>
      <c r="AI33" s="6"/>
      <c r="AJ33" s="6"/>
      <c r="AK33" s="83"/>
      <c r="AL33" s="6"/>
      <c r="AM33" s="6"/>
      <c r="AN33" s="6"/>
      <c r="AO33" s="6"/>
      <c r="AP33" s="86"/>
      <c r="AQ33" s="86"/>
      <c r="AR33" s="86"/>
      <c r="AS33" s="86"/>
      <c r="AT33" s="86"/>
      <c r="AU33" s="86"/>
      <c r="AV33" s="86"/>
      <c r="AW33" s="86"/>
      <c r="AX33" s="86"/>
      <c r="AY33" s="86"/>
    </row>
    <row r="34" spans="7:51" s="8" customFormat="1" ht="12.75" x14ac:dyDescent="0.2">
      <c r="G34" s="1"/>
      <c r="H34" s="2"/>
      <c r="I34" s="1"/>
      <c r="J34" s="66"/>
      <c r="K34" s="67"/>
      <c r="L34" s="72"/>
      <c r="M34" s="67"/>
      <c r="N34" s="67"/>
      <c r="O34" s="67"/>
      <c r="P34" s="67"/>
      <c r="Q34" s="67"/>
      <c r="R34" s="67"/>
      <c r="S34" s="67"/>
      <c r="T34" s="67"/>
      <c r="U34" s="67"/>
      <c r="V34" s="4"/>
      <c r="W34" s="4"/>
      <c r="X34" s="4"/>
      <c r="Y34" s="5"/>
      <c r="Z34" s="5"/>
      <c r="AA34" s="80"/>
      <c r="AB34" s="80"/>
      <c r="AC34" s="80"/>
      <c r="AD34" s="80"/>
      <c r="AE34" s="80"/>
      <c r="AF34" s="80"/>
      <c r="AG34" s="80"/>
      <c r="AH34" s="80"/>
      <c r="AI34" s="6"/>
      <c r="AJ34" s="6"/>
      <c r="AK34" s="83"/>
      <c r="AL34" s="6"/>
      <c r="AM34" s="6"/>
      <c r="AN34" s="6"/>
      <c r="AO34" s="6"/>
      <c r="AP34" s="86"/>
      <c r="AQ34" s="86"/>
      <c r="AR34" s="86"/>
      <c r="AS34" s="86"/>
      <c r="AT34" s="86"/>
      <c r="AU34" s="86"/>
      <c r="AV34" s="86"/>
      <c r="AW34" s="86"/>
      <c r="AX34" s="86"/>
      <c r="AY34" s="86"/>
    </row>
    <row r="35" spans="7:51" s="8" customFormat="1" ht="12.75" x14ac:dyDescent="0.2">
      <c r="G35" s="1"/>
      <c r="H35" s="2"/>
      <c r="I35" s="1"/>
      <c r="J35" s="66"/>
      <c r="K35" s="67"/>
      <c r="L35" s="72"/>
      <c r="M35" s="67"/>
      <c r="N35" s="67"/>
      <c r="O35" s="67"/>
      <c r="P35" s="67"/>
      <c r="Q35" s="67"/>
      <c r="R35" s="67"/>
      <c r="S35" s="67"/>
      <c r="T35" s="67"/>
      <c r="U35" s="67"/>
      <c r="V35" s="4"/>
      <c r="W35" s="4"/>
      <c r="X35" s="4"/>
      <c r="Y35" s="5"/>
      <c r="Z35" s="5"/>
      <c r="AA35" s="80"/>
      <c r="AB35" s="80"/>
      <c r="AC35" s="80"/>
      <c r="AD35" s="80"/>
      <c r="AE35" s="80"/>
      <c r="AF35" s="80"/>
      <c r="AG35" s="80"/>
      <c r="AH35" s="80"/>
      <c r="AI35" s="6"/>
      <c r="AJ35" s="6"/>
      <c r="AK35" s="83"/>
      <c r="AL35" s="6"/>
      <c r="AM35" s="6"/>
      <c r="AN35" s="6"/>
      <c r="AO35" s="6"/>
      <c r="AP35" s="86"/>
      <c r="AQ35" s="86"/>
      <c r="AR35" s="86"/>
      <c r="AS35" s="86"/>
      <c r="AT35" s="86"/>
      <c r="AU35" s="86"/>
      <c r="AV35" s="86"/>
      <c r="AW35" s="86"/>
      <c r="AX35" s="86"/>
      <c r="AY35" s="86"/>
    </row>
    <row r="36" spans="7:51" s="8" customFormat="1" ht="12.75" x14ac:dyDescent="0.2">
      <c r="G36" s="1"/>
      <c r="H36" s="2"/>
      <c r="I36" s="1"/>
      <c r="J36" s="66"/>
      <c r="K36" s="67"/>
      <c r="L36" s="72"/>
      <c r="M36" s="67"/>
      <c r="N36" s="67"/>
      <c r="O36" s="67"/>
      <c r="P36" s="67"/>
      <c r="Q36" s="67"/>
      <c r="R36" s="67"/>
      <c r="S36" s="67"/>
      <c r="T36" s="67"/>
      <c r="U36" s="67"/>
      <c r="V36" s="4"/>
      <c r="W36" s="4"/>
      <c r="X36" s="4"/>
      <c r="Y36" s="5"/>
      <c r="Z36" s="5"/>
      <c r="AA36" s="80"/>
      <c r="AB36" s="80"/>
      <c r="AC36" s="80"/>
      <c r="AD36" s="80"/>
      <c r="AE36" s="80"/>
      <c r="AF36" s="80"/>
      <c r="AG36" s="80"/>
      <c r="AH36" s="80"/>
      <c r="AI36" s="6"/>
      <c r="AJ36" s="6"/>
      <c r="AK36" s="83"/>
      <c r="AL36" s="6"/>
      <c r="AM36" s="6"/>
      <c r="AN36" s="6"/>
      <c r="AO36" s="6"/>
      <c r="AP36" s="86"/>
      <c r="AQ36" s="86"/>
      <c r="AR36" s="86"/>
      <c r="AS36" s="86"/>
      <c r="AT36" s="86"/>
      <c r="AU36" s="86"/>
      <c r="AV36" s="86"/>
      <c r="AW36" s="86"/>
      <c r="AX36" s="86"/>
      <c r="AY36" s="86"/>
    </row>
    <row r="37" spans="7:51" s="8" customFormat="1" ht="12.75" x14ac:dyDescent="0.2">
      <c r="G37" s="1"/>
      <c r="H37" s="2"/>
      <c r="I37" s="1"/>
      <c r="J37" s="66"/>
      <c r="K37" s="67"/>
      <c r="L37" s="72"/>
      <c r="M37" s="67"/>
      <c r="N37" s="67"/>
      <c r="O37" s="67"/>
      <c r="P37" s="67"/>
      <c r="Q37" s="67"/>
      <c r="R37" s="67"/>
      <c r="S37" s="67"/>
      <c r="T37" s="67"/>
      <c r="U37" s="67"/>
      <c r="V37" s="4"/>
      <c r="W37" s="4"/>
      <c r="X37" s="4"/>
      <c r="Y37" s="5"/>
      <c r="Z37" s="5"/>
      <c r="AA37" s="80"/>
      <c r="AB37" s="80"/>
      <c r="AC37" s="80"/>
      <c r="AD37" s="80"/>
      <c r="AE37" s="80"/>
      <c r="AF37" s="80"/>
      <c r="AG37" s="80"/>
      <c r="AH37" s="80"/>
      <c r="AI37" s="6"/>
      <c r="AJ37" s="6"/>
      <c r="AK37" s="83"/>
      <c r="AL37" s="6"/>
      <c r="AM37" s="6"/>
      <c r="AN37" s="6"/>
      <c r="AO37" s="6"/>
      <c r="AP37" s="86"/>
      <c r="AQ37" s="86"/>
      <c r="AR37" s="86"/>
      <c r="AS37" s="86"/>
      <c r="AT37" s="86"/>
      <c r="AU37" s="86"/>
      <c r="AV37" s="86"/>
      <c r="AW37" s="86"/>
      <c r="AX37" s="86"/>
      <c r="AY37" s="86"/>
    </row>
    <row r="38" spans="7:51" s="8" customFormat="1" ht="12.75" x14ac:dyDescent="0.2">
      <c r="G38" s="1"/>
      <c r="H38" s="2"/>
      <c r="I38" s="1"/>
      <c r="J38" s="66"/>
      <c r="K38" s="67"/>
      <c r="L38" s="72"/>
      <c r="M38" s="67"/>
      <c r="N38" s="67"/>
      <c r="O38" s="67"/>
      <c r="P38" s="67"/>
      <c r="Q38" s="67"/>
      <c r="R38" s="67"/>
      <c r="S38" s="67"/>
      <c r="T38" s="67"/>
      <c r="U38" s="67"/>
      <c r="V38" s="4"/>
      <c r="W38" s="4"/>
      <c r="X38" s="4"/>
      <c r="Y38" s="5"/>
      <c r="Z38" s="5"/>
      <c r="AA38" s="80"/>
      <c r="AB38" s="80"/>
      <c r="AC38" s="80"/>
      <c r="AD38" s="80"/>
      <c r="AE38" s="80"/>
      <c r="AF38" s="80"/>
      <c r="AG38" s="80"/>
      <c r="AH38" s="80"/>
      <c r="AI38" s="6"/>
      <c r="AJ38" s="6"/>
      <c r="AK38" s="83"/>
      <c r="AL38" s="6"/>
      <c r="AM38" s="6"/>
      <c r="AN38" s="6"/>
      <c r="AO38" s="6"/>
      <c r="AP38" s="86"/>
      <c r="AQ38" s="86"/>
      <c r="AR38" s="86"/>
      <c r="AS38" s="86"/>
      <c r="AT38" s="86"/>
      <c r="AU38" s="86"/>
      <c r="AV38" s="86"/>
      <c r="AW38" s="86"/>
      <c r="AX38" s="86"/>
      <c r="AY38" s="86"/>
    </row>
    <row r="39" spans="7:51" s="8" customFormat="1" ht="12.75" x14ac:dyDescent="0.2">
      <c r="G39" s="1"/>
      <c r="H39" s="2"/>
      <c r="I39" s="1"/>
      <c r="J39" s="66"/>
      <c r="K39" s="67"/>
      <c r="L39" s="72"/>
      <c r="M39" s="67"/>
      <c r="N39" s="67"/>
      <c r="O39" s="67"/>
      <c r="P39" s="67"/>
      <c r="Q39" s="67"/>
      <c r="R39" s="67"/>
      <c r="S39" s="67"/>
      <c r="T39" s="67"/>
      <c r="U39" s="67"/>
      <c r="V39" s="4"/>
      <c r="W39" s="4"/>
      <c r="X39" s="4"/>
      <c r="Y39" s="5"/>
      <c r="Z39" s="5"/>
      <c r="AA39" s="80"/>
      <c r="AB39" s="80"/>
      <c r="AC39" s="80"/>
      <c r="AD39" s="80"/>
      <c r="AE39" s="80"/>
      <c r="AF39" s="80"/>
      <c r="AG39" s="80"/>
      <c r="AH39" s="80"/>
      <c r="AI39" s="6"/>
      <c r="AJ39" s="6"/>
      <c r="AK39" s="83"/>
      <c r="AL39" s="6"/>
      <c r="AM39" s="6"/>
      <c r="AN39" s="6"/>
      <c r="AO39" s="6"/>
      <c r="AP39" s="86"/>
      <c r="AQ39" s="86"/>
      <c r="AR39" s="86"/>
      <c r="AS39" s="86"/>
      <c r="AT39" s="86"/>
      <c r="AU39" s="86"/>
      <c r="AV39" s="86"/>
      <c r="AW39" s="86"/>
      <c r="AX39" s="86"/>
      <c r="AY39" s="86"/>
    </row>
    <row r="40" spans="7:51" s="8" customFormat="1" ht="12.75" x14ac:dyDescent="0.2">
      <c r="G40" s="1"/>
      <c r="H40" s="2"/>
      <c r="I40" s="1"/>
      <c r="J40" s="66"/>
      <c r="K40" s="67"/>
      <c r="L40" s="72"/>
      <c r="M40" s="67"/>
      <c r="N40" s="67"/>
      <c r="O40" s="67"/>
      <c r="P40" s="67"/>
      <c r="Q40" s="67"/>
      <c r="R40" s="67"/>
      <c r="S40" s="67"/>
      <c r="T40" s="67"/>
      <c r="U40" s="67"/>
      <c r="V40" s="4"/>
      <c r="W40" s="4"/>
      <c r="X40" s="4"/>
      <c r="Y40" s="5"/>
      <c r="Z40" s="5"/>
      <c r="AA40" s="80"/>
      <c r="AB40" s="80"/>
      <c r="AC40" s="80"/>
      <c r="AD40" s="80"/>
      <c r="AE40" s="80"/>
      <c r="AF40" s="80"/>
      <c r="AG40" s="80"/>
      <c r="AH40" s="80"/>
      <c r="AI40" s="6"/>
      <c r="AJ40" s="6"/>
      <c r="AK40" s="83"/>
      <c r="AL40" s="6"/>
      <c r="AM40" s="6"/>
      <c r="AN40" s="6"/>
      <c r="AO40" s="6"/>
      <c r="AP40" s="86"/>
      <c r="AQ40" s="86"/>
      <c r="AR40" s="86"/>
      <c r="AS40" s="86"/>
      <c r="AT40" s="86"/>
      <c r="AU40" s="86"/>
      <c r="AV40" s="86"/>
      <c r="AW40" s="86"/>
      <c r="AX40" s="86"/>
      <c r="AY40" s="86"/>
    </row>
    <row r="41" spans="7:51" s="8" customFormat="1" ht="12.75" x14ac:dyDescent="0.2">
      <c r="G41" s="1"/>
      <c r="H41" s="2"/>
      <c r="I41" s="1"/>
      <c r="J41" s="66"/>
      <c r="K41" s="67"/>
      <c r="L41" s="72"/>
      <c r="M41" s="67"/>
      <c r="N41" s="67"/>
      <c r="O41" s="67"/>
      <c r="P41" s="67"/>
      <c r="Q41" s="67"/>
      <c r="R41" s="67"/>
      <c r="S41" s="67"/>
      <c r="T41" s="67"/>
      <c r="U41" s="67"/>
      <c r="V41" s="4"/>
      <c r="W41" s="4"/>
      <c r="X41" s="4"/>
      <c r="Y41" s="5"/>
      <c r="Z41" s="5"/>
      <c r="AA41" s="80"/>
      <c r="AB41" s="80"/>
      <c r="AC41" s="80"/>
      <c r="AD41" s="80"/>
      <c r="AE41" s="80"/>
      <c r="AF41" s="80"/>
      <c r="AG41" s="80"/>
      <c r="AH41" s="80"/>
      <c r="AI41" s="6"/>
      <c r="AJ41" s="6"/>
      <c r="AK41" s="83"/>
      <c r="AL41" s="6"/>
      <c r="AM41" s="6"/>
      <c r="AN41" s="6"/>
      <c r="AO41" s="6"/>
      <c r="AP41" s="86"/>
      <c r="AQ41" s="86"/>
      <c r="AR41" s="86"/>
      <c r="AS41" s="86"/>
      <c r="AT41" s="86"/>
      <c r="AU41" s="86"/>
      <c r="AV41" s="86"/>
      <c r="AW41" s="86"/>
      <c r="AX41" s="86"/>
      <c r="AY41" s="86"/>
    </row>
    <row r="42" spans="7:51" s="8" customFormat="1" ht="12.75" x14ac:dyDescent="0.2">
      <c r="G42" s="1"/>
      <c r="H42" s="2"/>
      <c r="I42" s="1"/>
      <c r="J42" s="66"/>
      <c r="K42" s="67"/>
      <c r="L42" s="72"/>
      <c r="M42" s="67"/>
      <c r="N42" s="67"/>
      <c r="O42" s="67"/>
      <c r="P42" s="67"/>
      <c r="Q42" s="67"/>
      <c r="R42" s="67"/>
      <c r="S42" s="67"/>
      <c r="T42" s="67"/>
      <c r="U42" s="67"/>
      <c r="V42" s="4"/>
      <c r="W42" s="4"/>
      <c r="X42" s="4"/>
      <c r="Y42" s="5"/>
      <c r="Z42" s="5"/>
      <c r="AA42" s="80"/>
      <c r="AB42" s="80"/>
      <c r="AC42" s="80"/>
      <c r="AD42" s="80"/>
      <c r="AE42" s="80"/>
      <c r="AF42" s="80"/>
      <c r="AG42" s="80"/>
      <c r="AH42" s="80"/>
      <c r="AI42" s="6"/>
      <c r="AJ42" s="6"/>
      <c r="AK42" s="83"/>
      <c r="AL42" s="6"/>
      <c r="AM42" s="6"/>
      <c r="AN42" s="6"/>
      <c r="AO42" s="6"/>
      <c r="AP42" s="86"/>
      <c r="AQ42" s="86"/>
      <c r="AR42" s="86"/>
      <c r="AS42" s="86"/>
      <c r="AT42" s="86"/>
      <c r="AU42" s="86"/>
      <c r="AV42" s="86"/>
      <c r="AW42" s="86"/>
      <c r="AX42" s="86"/>
      <c r="AY42" s="86"/>
    </row>
    <row r="43" spans="7:51" s="8" customFormat="1" ht="12.75" x14ac:dyDescent="0.2">
      <c r="G43" s="1"/>
      <c r="H43" s="2"/>
      <c r="I43" s="1"/>
      <c r="J43" s="66"/>
      <c r="K43" s="67"/>
      <c r="L43" s="72"/>
      <c r="M43" s="67"/>
      <c r="N43" s="67"/>
      <c r="O43" s="67"/>
      <c r="P43" s="67"/>
      <c r="Q43" s="67"/>
      <c r="R43" s="67"/>
      <c r="S43" s="67"/>
      <c r="T43" s="67"/>
      <c r="U43" s="67"/>
      <c r="V43" s="4"/>
      <c r="W43" s="4"/>
      <c r="X43" s="4"/>
      <c r="Y43" s="5"/>
      <c r="Z43" s="5"/>
      <c r="AA43" s="80"/>
      <c r="AB43" s="80"/>
      <c r="AC43" s="80"/>
      <c r="AD43" s="80"/>
      <c r="AE43" s="80"/>
      <c r="AF43" s="80"/>
      <c r="AG43" s="80"/>
      <c r="AH43" s="80"/>
      <c r="AI43" s="6"/>
      <c r="AJ43" s="6"/>
      <c r="AK43" s="83"/>
      <c r="AL43" s="6"/>
      <c r="AM43" s="6"/>
      <c r="AN43" s="6"/>
      <c r="AO43" s="6"/>
      <c r="AP43" s="86"/>
      <c r="AQ43" s="86"/>
      <c r="AR43" s="86"/>
      <c r="AS43" s="86"/>
      <c r="AT43" s="86"/>
      <c r="AU43" s="86"/>
      <c r="AV43" s="86"/>
      <c r="AW43" s="86"/>
      <c r="AX43" s="86"/>
      <c r="AY43" s="86"/>
    </row>
    <row r="44" spans="7:51" s="8" customFormat="1" ht="12.75" x14ac:dyDescent="0.2">
      <c r="G44" s="1"/>
      <c r="H44" s="2"/>
      <c r="I44" s="1"/>
      <c r="J44" s="66"/>
      <c r="K44" s="67"/>
      <c r="L44" s="72"/>
      <c r="M44" s="67"/>
      <c r="N44" s="67"/>
      <c r="O44" s="67"/>
      <c r="P44" s="67"/>
      <c r="Q44" s="67"/>
      <c r="R44" s="67"/>
      <c r="S44" s="67"/>
      <c r="T44" s="67"/>
      <c r="U44" s="67"/>
      <c r="V44" s="4"/>
      <c r="W44" s="4"/>
      <c r="X44" s="4"/>
      <c r="Y44" s="5"/>
      <c r="Z44" s="5"/>
      <c r="AA44" s="80"/>
      <c r="AB44" s="80"/>
      <c r="AC44" s="80"/>
      <c r="AD44" s="80"/>
      <c r="AE44" s="80"/>
      <c r="AF44" s="80"/>
      <c r="AG44" s="80"/>
      <c r="AH44" s="80"/>
      <c r="AI44" s="6"/>
      <c r="AJ44" s="6"/>
      <c r="AK44" s="83"/>
      <c r="AL44" s="6"/>
      <c r="AM44" s="6"/>
      <c r="AN44" s="6"/>
      <c r="AO44" s="6"/>
      <c r="AP44" s="86"/>
      <c r="AQ44" s="86"/>
      <c r="AR44" s="86"/>
      <c r="AS44" s="86"/>
      <c r="AT44" s="86"/>
      <c r="AU44" s="86"/>
      <c r="AV44" s="86"/>
      <c r="AW44" s="86"/>
      <c r="AX44" s="86"/>
      <c r="AY44" s="86"/>
    </row>
    <row r="45" spans="7:51" s="8" customFormat="1" ht="12.75" x14ac:dyDescent="0.2">
      <c r="G45" s="1"/>
      <c r="H45" s="2"/>
      <c r="I45" s="1"/>
      <c r="J45" s="66"/>
      <c r="K45" s="67"/>
      <c r="L45" s="72"/>
      <c r="M45" s="67"/>
      <c r="N45" s="67"/>
      <c r="O45" s="67"/>
      <c r="P45" s="67"/>
      <c r="Q45" s="67"/>
      <c r="R45" s="67"/>
      <c r="S45" s="67"/>
      <c r="T45" s="67"/>
      <c r="U45" s="67"/>
      <c r="V45" s="4"/>
      <c r="W45" s="4"/>
      <c r="X45" s="4"/>
      <c r="Y45" s="5"/>
      <c r="Z45" s="5"/>
      <c r="AA45" s="80"/>
      <c r="AB45" s="80"/>
      <c r="AC45" s="80"/>
      <c r="AD45" s="80"/>
      <c r="AE45" s="80"/>
      <c r="AF45" s="80"/>
      <c r="AG45" s="80"/>
      <c r="AH45" s="80"/>
      <c r="AI45" s="6"/>
      <c r="AJ45" s="6"/>
      <c r="AK45" s="83"/>
      <c r="AL45" s="6"/>
      <c r="AM45" s="6"/>
      <c r="AN45" s="6"/>
      <c r="AO45" s="6"/>
      <c r="AP45" s="86"/>
      <c r="AQ45" s="86"/>
      <c r="AR45" s="86"/>
      <c r="AS45" s="86"/>
      <c r="AT45" s="86"/>
      <c r="AU45" s="86"/>
      <c r="AV45" s="86"/>
      <c r="AW45" s="86"/>
      <c r="AX45" s="86"/>
      <c r="AY45" s="86"/>
    </row>
    <row r="46" spans="7:51" s="8" customFormat="1" ht="12.75" x14ac:dyDescent="0.2">
      <c r="G46" s="1"/>
      <c r="H46" s="2"/>
      <c r="I46" s="1"/>
      <c r="J46" s="66"/>
      <c r="K46" s="67"/>
      <c r="L46" s="72"/>
      <c r="M46" s="67"/>
      <c r="N46" s="67"/>
      <c r="O46" s="67"/>
      <c r="P46" s="67"/>
      <c r="Q46" s="67"/>
      <c r="R46" s="67"/>
      <c r="S46" s="67"/>
      <c r="T46" s="67"/>
      <c r="U46" s="67"/>
      <c r="V46" s="4"/>
      <c r="W46" s="4"/>
      <c r="X46" s="4"/>
      <c r="Y46" s="5"/>
      <c r="Z46" s="5"/>
      <c r="AA46" s="80"/>
      <c r="AB46" s="80"/>
      <c r="AC46" s="80"/>
      <c r="AD46" s="80"/>
      <c r="AE46" s="80"/>
      <c r="AF46" s="80"/>
      <c r="AG46" s="80"/>
      <c r="AH46" s="80"/>
      <c r="AI46" s="6"/>
      <c r="AJ46" s="6"/>
      <c r="AK46" s="83"/>
      <c r="AL46" s="6"/>
      <c r="AM46" s="6"/>
      <c r="AN46" s="6"/>
      <c r="AO46" s="6"/>
      <c r="AP46" s="86"/>
      <c r="AQ46" s="86"/>
      <c r="AR46" s="86"/>
      <c r="AS46" s="86"/>
      <c r="AT46" s="86"/>
      <c r="AU46" s="86"/>
      <c r="AV46" s="86"/>
      <c r="AW46" s="86"/>
      <c r="AX46" s="86"/>
      <c r="AY46" s="86"/>
    </row>
    <row r="47" spans="7:51" s="8" customFormat="1" ht="12.75" x14ac:dyDescent="0.2">
      <c r="G47" s="1"/>
      <c r="H47" s="2"/>
      <c r="I47" s="1"/>
      <c r="J47" s="66"/>
      <c r="K47" s="67"/>
      <c r="L47" s="72"/>
      <c r="M47" s="67"/>
      <c r="N47" s="67"/>
      <c r="O47" s="67"/>
      <c r="P47" s="67"/>
      <c r="Q47" s="67"/>
      <c r="R47" s="67"/>
      <c r="S47" s="67"/>
      <c r="T47" s="67"/>
      <c r="U47" s="67"/>
      <c r="V47" s="4"/>
      <c r="W47" s="4"/>
      <c r="X47" s="4"/>
      <c r="Y47" s="5"/>
      <c r="Z47" s="5"/>
      <c r="AA47" s="80"/>
      <c r="AB47" s="80"/>
      <c r="AC47" s="80"/>
      <c r="AD47" s="80"/>
      <c r="AE47" s="80"/>
      <c r="AF47" s="80"/>
      <c r="AG47" s="80"/>
      <c r="AH47" s="80"/>
      <c r="AI47" s="6"/>
      <c r="AJ47" s="6"/>
      <c r="AK47" s="83"/>
      <c r="AL47" s="6"/>
      <c r="AM47" s="6"/>
      <c r="AN47" s="6"/>
      <c r="AO47" s="6"/>
      <c r="AP47" s="86"/>
      <c r="AQ47" s="86"/>
      <c r="AR47" s="86"/>
      <c r="AS47" s="86"/>
      <c r="AT47" s="86"/>
      <c r="AU47" s="86"/>
      <c r="AV47" s="86"/>
      <c r="AW47" s="86"/>
      <c r="AX47" s="86"/>
      <c r="AY47" s="86"/>
    </row>
    <row r="48" spans="7:51" s="8" customFormat="1" ht="12.75" x14ac:dyDescent="0.2">
      <c r="G48" s="1"/>
      <c r="H48" s="2"/>
      <c r="I48" s="1"/>
      <c r="J48" s="66"/>
      <c r="K48" s="67"/>
      <c r="L48" s="72"/>
      <c r="M48" s="67"/>
      <c r="N48" s="67"/>
      <c r="O48" s="67"/>
      <c r="P48" s="67"/>
      <c r="Q48" s="67"/>
      <c r="R48" s="67"/>
      <c r="S48" s="67"/>
      <c r="T48" s="67"/>
      <c r="U48" s="67"/>
      <c r="V48" s="4"/>
      <c r="W48" s="4"/>
      <c r="X48" s="4"/>
      <c r="Y48" s="5"/>
      <c r="Z48" s="5"/>
      <c r="AA48" s="80"/>
      <c r="AB48" s="80"/>
      <c r="AC48" s="80"/>
      <c r="AD48" s="80"/>
      <c r="AE48" s="80"/>
      <c r="AF48" s="80"/>
      <c r="AG48" s="80"/>
      <c r="AH48" s="80"/>
      <c r="AI48" s="6"/>
      <c r="AJ48" s="6"/>
      <c r="AK48" s="83"/>
      <c r="AL48" s="6"/>
      <c r="AM48" s="6"/>
      <c r="AN48" s="6"/>
      <c r="AO48" s="6"/>
      <c r="AP48" s="86"/>
      <c r="AQ48" s="86"/>
      <c r="AR48" s="86"/>
      <c r="AS48" s="86"/>
      <c r="AT48" s="86"/>
      <c r="AU48" s="86"/>
      <c r="AV48" s="86"/>
      <c r="AW48" s="86"/>
      <c r="AX48" s="86"/>
      <c r="AY48" s="86"/>
    </row>
    <row r="49" spans="7:51" s="8" customFormat="1" ht="12.75" x14ac:dyDescent="0.2">
      <c r="G49" s="1"/>
      <c r="H49" s="2"/>
      <c r="I49" s="1"/>
      <c r="J49" s="66"/>
      <c r="K49" s="67"/>
      <c r="L49" s="72"/>
      <c r="M49" s="67"/>
      <c r="N49" s="67"/>
      <c r="O49" s="67"/>
      <c r="P49" s="67"/>
      <c r="Q49" s="67"/>
      <c r="R49" s="67"/>
      <c r="S49" s="67"/>
      <c r="T49" s="67"/>
      <c r="U49" s="67"/>
      <c r="V49" s="4"/>
      <c r="W49" s="4"/>
      <c r="X49" s="4"/>
      <c r="Y49" s="5"/>
      <c r="Z49" s="5"/>
      <c r="AA49" s="80"/>
      <c r="AB49" s="80"/>
      <c r="AC49" s="80"/>
      <c r="AD49" s="80"/>
      <c r="AE49" s="80"/>
      <c r="AF49" s="80"/>
      <c r="AG49" s="80"/>
      <c r="AH49" s="80"/>
      <c r="AI49" s="6"/>
      <c r="AJ49" s="6"/>
      <c r="AK49" s="83"/>
      <c r="AL49" s="6"/>
      <c r="AM49" s="6"/>
      <c r="AN49" s="6"/>
      <c r="AO49" s="6"/>
      <c r="AP49" s="86"/>
      <c r="AQ49" s="86"/>
      <c r="AR49" s="86"/>
      <c r="AS49" s="86"/>
      <c r="AT49" s="86"/>
      <c r="AU49" s="86"/>
      <c r="AV49" s="86"/>
      <c r="AW49" s="86"/>
      <c r="AX49" s="86"/>
      <c r="AY49" s="86"/>
    </row>
    <row r="50" spans="7:51" s="8" customFormat="1" ht="12.75" x14ac:dyDescent="0.2">
      <c r="G50" s="1"/>
      <c r="H50" s="2"/>
      <c r="I50" s="1"/>
      <c r="J50" s="66"/>
      <c r="K50" s="67"/>
      <c r="L50" s="72"/>
      <c r="M50" s="67"/>
      <c r="N50" s="67"/>
      <c r="O50" s="67"/>
      <c r="P50" s="67"/>
      <c r="Q50" s="67"/>
      <c r="R50" s="67"/>
      <c r="S50" s="67"/>
      <c r="T50" s="67"/>
      <c r="U50" s="67"/>
      <c r="V50" s="4"/>
      <c r="W50" s="4"/>
      <c r="X50" s="4"/>
      <c r="Y50" s="5"/>
      <c r="Z50" s="5"/>
      <c r="AA50" s="80"/>
      <c r="AB50" s="80"/>
      <c r="AC50" s="80"/>
      <c r="AD50" s="80"/>
      <c r="AE50" s="80"/>
      <c r="AF50" s="80"/>
      <c r="AG50" s="80"/>
      <c r="AH50" s="80"/>
      <c r="AI50" s="6"/>
      <c r="AJ50" s="6"/>
      <c r="AK50" s="83"/>
      <c r="AL50" s="6"/>
      <c r="AM50" s="6"/>
      <c r="AN50" s="6"/>
      <c r="AO50" s="6"/>
      <c r="AP50" s="86"/>
      <c r="AQ50" s="86"/>
      <c r="AR50" s="86"/>
      <c r="AS50" s="86"/>
      <c r="AT50" s="86"/>
      <c r="AU50" s="86"/>
      <c r="AV50" s="86"/>
      <c r="AW50" s="86"/>
      <c r="AX50" s="86"/>
      <c r="AY50" s="86"/>
    </row>
    <row r="51" spans="7:51" s="8" customFormat="1" ht="12.75" x14ac:dyDescent="0.2">
      <c r="G51" s="1"/>
      <c r="H51" s="2"/>
      <c r="I51" s="1"/>
      <c r="J51" s="66"/>
      <c r="K51" s="67"/>
      <c r="L51" s="72"/>
      <c r="M51" s="67"/>
      <c r="N51" s="67"/>
      <c r="O51" s="67"/>
      <c r="P51" s="67"/>
      <c r="Q51" s="67"/>
      <c r="R51" s="67"/>
      <c r="S51" s="67"/>
      <c r="T51" s="67"/>
      <c r="U51" s="67"/>
      <c r="V51" s="4"/>
      <c r="W51" s="4"/>
      <c r="X51" s="4"/>
      <c r="Y51" s="5"/>
      <c r="Z51" s="5"/>
      <c r="AA51" s="80"/>
      <c r="AB51" s="80"/>
      <c r="AC51" s="80"/>
      <c r="AD51" s="80"/>
      <c r="AE51" s="80"/>
      <c r="AF51" s="80"/>
      <c r="AG51" s="80"/>
      <c r="AH51" s="80"/>
      <c r="AI51" s="6"/>
      <c r="AJ51" s="6"/>
      <c r="AK51" s="83"/>
      <c r="AL51" s="6"/>
      <c r="AM51" s="6"/>
      <c r="AN51" s="6"/>
      <c r="AO51" s="6"/>
      <c r="AP51" s="86"/>
      <c r="AQ51" s="86"/>
      <c r="AR51" s="86"/>
      <c r="AS51" s="86"/>
      <c r="AT51" s="86"/>
      <c r="AU51" s="86"/>
      <c r="AV51" s="86"/>
      <c r="AW51" s="86"/>
      <c r="AX51" s="86"/>
      <c r="AY51" s="86"/>
    </row>
    <row r="52" spans="7:51" s="8" customFormat="1" ht="12.75" x14ac:dyDescent="0.2">
      <c r="G52" s="1"/>
      <c r="H52" s="2"/>
      <c r="I52" s="1"/>
      <c r="J52" s="66"/>
      <c r="K52" s="67"/>
      <c r="L52" s="72"/>
      <c r="M52" s="67"/>
      <c r="N52" s="67"/>
      <c r="O52" s="67"/>
      <c r="P52" s="67"/>
      <c r="Q52" s="67"/>
      <c r="R52" s="67"/>
      <c r="S52" s="67"/>
      <c r="T52" s="67"/>
      <c r="U52" s="67"/>
      <c r="V52" s="4"/>
      <c r="W52" s="4"/>
      <c r="X52" s="4"/>
      <c r="Y52" s="5"/>
      <c r="Z52" s="5"/>
      <c r="AA52" s="80"/>
      <c r="AB52" s="80"/>
      <c r="AC52" s="80"/>
      <c r="AD52" s="80"/>
      <c r="AE52" s="80"/>
      <c r="AF52" s="80"/>
      <c r="AG52" s="80"/>
      <c r="AH52" s="80"/>
      <c r="AI52" s="6"/>
      <c r="AJ52" s="6"/>
      <c r="AK52" s="83"/>
      <c r="AL52" s="6"/>
      <c r="AM52" s="6"/>
      <c r="AN52" s="6"/>
      <c r="AO52" s="6"/>
      <c r="AP52" s="86"/>
      <c r="AQ52" s="86"/>
      <c r="AR52" s="86"/>
      <c r="AS52" s="86"/>
      <c r="AT52" s="86"/>
      <c r="AU52" s="86"/>
      <c r="AV52" s="86"/>
      <c r="AW52" s="86"/>
      <c r="AX52" s="86"/>
      <c r="AY52" s="86"/>
    </row>
    <row r="53" spans="7:51" s="8" customFormat="1" ht="12.75" x14ac:dyDescent="0.2">
      <c r="G53" s="1"/>
      <c r="H53" s="2"/>
      <c r="I53" s="1"/>
      <c r="J53" s="66"/>
      <c r="K53" s="67"/>
      <c r="L53" s="72"/>
      <c r="M53" s="67"/>
      <c r="N53" s="67"/>
      <c r="O53" s="67"/>
      <c r="P53" s="67"/>
      <c r="Q53" s="67"/>
      <c r="R53" s="67"/>
      <c r="S53" s="67"/>
      <c r="T53" s="67"/>
      <c r="U53" s="67"/>
      <c r="V53" s="4"/>
      <c r="W53" s="4"/>
      <c r="X53" s="4"/>
      <c r="Y53" s="5"/>
      <c r="Z53" s="5"/>
      <c r="AA53" s="80"/>
      <c r="AB53" s="80"/>
      <c r="AC53" s="80"/>
      <c r="AD53" s="80"/>
      <c r="AE53" s="80"/>
      <c r="AF53" s="80"/>
      <c r="AG53" s="80"/>
      <c r="AH53" s="80"/>
      <c r="AI53" s="6"/>
      <c r="AJ53" s="6"/>
      <c r="AK53" s="83"/>
      <c r="AL53" s="6"/>
      <c r="AM53" s="6"/>
      <c r="AN53" s="6"/>
      <c r="AO53" s="6"/>
      <c r="AP53" s="86"/>
      <c r="AQ53" s="86"/>
      <c r="AR53" s="86"/>
      <c r="AS53" s="86"/>
      <c r="AT53" s="86"/>
      <c r="AU53" s="86"/>
      <c r="AV53" s="86"/>
      <c r="AW53" s="86"/>
      <c r="AX53" s="86"/>
      <c r="AY53" s="86"/>
    </row>
    <row r="54" spans="7:51" s="8" customFormat="1" ht="12.75" x14ac:dyDescent="0.2">
      <c r="G54" s="1"/>
      <c r="H54" s="2"/>
      <c r="I54" s="1"/>
      <c r="J54" s="66"/>
      <c r="K54" s="67"/>
      <c r="L54" s="72"/>
      <c r="M54" s="67"/>
      <c r="N54" s="67"/>
      <c r="O54" s="67"/>
      <c r="P54" s="67"/>
      <c r="Q54" s="67"/>
      <c r="R54" s="67"/>
      <c r="S54" s="67"/>
      <c r="T54" s="67"/>
      <c r="U54" s="67"/>
      <c r="V54" s="4"/>
      <c r="W54" s="4"/>
      <c r="X54" s="4"/>
      <c r="Y54" s="5"/>
      <c r="Z54" s="5"/>
      <c r="AA54" s="80"/>
      <c r="AB54" s="80"/>
      <c r="AC54" s="80"/>
      <c r="AD54" s="80"/>
      <c r="AE54" s="80"/>
      <c r="AF54" s="80"/>
      <c r="AG54" s="80"/>
      <c r="AH54" s="80"/>
      <c r="AI54" s="6"/>
      <c r="AJ54" s="6"/>
      <c r="AK54" s="83"/>
      <c r="AL54" s="6"/>
      <c r="AM54" s="6"/>
      <c r="AN54" s="6"/>
      <c r="AO54" s="6"/>
      <c r="AP54" s="86"/>
      <c r="AQ54" s="86"/>
      <c r="AR54" s="86"/>
      <c r="AS54" s="86"/>
      <c r="AT54" s="86"/>
      <c r="AU54" s="86"/>
      <c r="AV54" s="86"/>
      <c r="AW54" s="86"/>
      <c r="AX54" s="86"/>
      <c r="AY54" s="86"/>
    </row>
    <row r="55" spans="7:51" s="8" customFormat="1" ht="12.75" x14ac:dyDescent="0.2">
      <c r="G55" s="1"/>
      <c r="H55" s="2"/>
      <c r="I55" s="1"/>
      <c r="J55" s="66"/>
      <c r="K55" s="67"/>
      <c r="L55" s="72"/>
      <c r="M55" s="67"/>
      <c r="N55" s="67"/>
      <c r="O55" s="67"/>
      <c r="P55" s="67"/>
      <c r="Q55" s="67"/>
      <c r="R55" s="67"/>
      <c r="S55" s="67"/>
      <c r="T55" s="67"/>
      <c r="U55" s="67"/>
      <c r="V55" s="4"/>
      <c r="W55" s="4"/>
      <c r="X55" s="4"/>
      <c r="Y55" s="5"/>
      <c r="Z55" s="5"/>
      <c r="AA55" s="80"/>
      <c r="AB55" s="80"/>
      <c r="AC55" s="80"/>
      <c r="AD55" s="80"/>
      <c r="AE55" s="80"/>
      <c r="AF55" s="80"/>
      <c r="AG55" s="80"/>
      <c r="AH55" s="80"/>
      <c r="AI55" s="6"/>
      <c r="AJ55" s="6"/>
      <c r="AK55" s="83"/>
      <c r="AL55" s="6"/>
      <c r="AM55" s="6"/>
      <c r="AN55" s="6"/>
      <c r="AO55" s="6"/>
      <c r="AP55" s="86"/>
      <c r="AQ55" s="86"/>
      <c r="AR55" s="86"/>
      <c r="AS55" s="86"/>
      <c r="AT55" s="86"/>
      <c r="AU55" s="86"/>
      <c r="AV55" s="86"/>
      <c r="AW55" s="86"/>
      <c r="AX55" s="86"/>
      <c r="AY55" s="86"/>
    </row>
    <row r="56" spans="7:51" s="8" customFormat="1" ht="12.75" x14ac:dyDescent="0.2">
      <c r="G56" s="1"/>
      <c r="H56" s="2"/>
      <c r="I56" s="1"/>
      <c r="J56" s="66"/>
      <c r="K56" s="67"/>
      <c r="L56" s="72"/>
      <c r="M56" s="67"/>
      <c r="N56" s="67"/>
      <c r="O56" s="67"/>
      <c r="P56" s="67"/>
      <c r="Q56" s="67"/>
      <c r="R56" s="67"/>
      <c r="S56" s="67"/>
      <c r="T56" s="67"/>
      <c r="U56" s="67"/>
      <c r="V56" s="4"/>
      <c r="W56" s="4"/>
      <c r="X56" s="4"/>
      <c r="Y56" s="5"/>
      <c r="Z56" s="5"/>
      <c r="AA56" s="80"/>
      <c r="AB56" s="80"/>
      <c r="AC56" s="80"/>
      <c r="AD56" s="80"/>
      <c r="AE56" s="80"/>
      <c r="AF56" s="80"/>
      <c r="AG56" s="80"/>
      <c r="AH56" s="80"/>
      <c r="AI56" s="6"/>
      <c r="AJ56" s="6"/>
      <c r="AK56" s="83"/>
      <c r="AL56" s="6"/>
      <c r="AM56" s="6"/>
      <c r="AN56" s="6"/>
      <c r="AO56" s="6"/>
      <c r="AP56" s="86"/>
      <c r="AQ56" s="86"/>
      <c r="AR56" s="86"/>
      <c r="AS56" s="86"/>
      <c r="AT56" s="86"/>
      <c r="AU56" s="86"/>
      <c r="AV56" s="86"/>
      <c r="AW56" s="86"/>
      <c r="AX56" s="86"/>
      <c r="AY56" s="86"/>
    </row>
    <row r="57" spans="7:51" s="8" customFormat="1" ht="12.75" x14ac:dyDescent="0.2">
      <c r="G57" s="1"/>
      <c r="H57" s="2"/>
      <c r="I57" s="1"/>
      <c r="J57" s="66"/>
      <c r="K57" s="67"/>
      <c r="L57" s="72"/>
      <c r="M57" s="67"/>
      <c r="N57" s="67"/>
      <c r="O57" s="67"/>
      <c r="P57" s="67"/>
      <c r="Q57" s="67"/>
      <c r="R57" s="67"/>
      <c r="S57" s="67"/>
      <c r="T57" s="67"/>
      <c r="U57" s="67"/>
      <c r="V57" s="4"/>
      <c r="W57" s="4"/>
      <c r="X57" s="4"/>
      <c r="Y57" s="5"/>
      <c r="Z57" s="5"/>
      <c r="AA57" s="80"/>
      <c r="AB57" s="80"/>
      <c r="AC57" s="80"/>
      <c r="AD57" s="80"/>
      <c r="AE57" s="80"/>
      <c r="AF57" s="80"/>
      <c r="AG57" s="80"/>
      <c r="AH57" s="80"/>
      <c r="AI57" s="6"/>
      <c r="AJ57" s="6"/>
      <c r="AK57" s="83"/>
      <c r="AL57" s="6"/>
      <c r="AM57" s="6"/>
      <c r="AN57" s="6"/>
      <c r="AO57" s="6"/>
      <c r="AP57" s="86"/>
      <c r="AQ57" s="86"/>
      <c r="AR57" s="86"/>
      <c r="AS57" s="86"/>
      <c r="AT57" s="86"/>
      <c r="AU57" s="86"/>
      <c r="AV57" s="86"/>
      <c r="AW57" s="86"/>
      <c r="AX57" s="86"/>
      <c r="AY57" s="86"/>
    </row>
    <row r="58" spans="7:51" s="8" customFormat="1" ht="12.75" x14ac:dyDescent="0.2">
      <c r="G58" s="1"/>
      <c r="H58" s="2"/>
      <c r="I58" s="1"/>
      <c r="J58" s="66"/>
      <c r="K58" s="67"/>
      <c r="L58" s="72"/>
      <c r="M58" s="67"/>
      <c r="N58" s="67"/>
      <c r="O58" s="67"/>
      <c r="P58" s="67"/>
      <c r="Q58" s="67"/>
      <c r="R58" s="67"/>
      <c r="S58" s="67"/>
      <c r="T58" s="67"/>
      <c r="U58" s="67"/>
      <c r="V58" s="4"/>
      <c r="W58" s="4"/>
      <c r="X58" s="4"/>
      <c r="Y58" s="5"/>
      <c r="Z58" s="5"/>
      <c r="AA58" s="80"/>
      <c r="AB58" s="80"/>
      <c r="AC58" s="80"/>
      <c r="AD58" s="80"/>
      <c r="AE58" s="80"/>
      <c r="AF58" s="80"/>
      <c r="AG58" s="80"/>
      <c r="AH58" s="80"/>
      <c r="AI58" s="6"/>
      <c r="AJ58" s="6"/>
      <c r="AK58" s="83"/>
      <c r="AL58" s="6"/>
      <c r="AM58" s="6"/>
      <c r="AN58" s="6"/>
      <c r="AO58" s="6"/>
      <c r="AP58" s="86"/>
      <c r="AQ58" s="86"/>
      <c r="AR58" s="86"/>
      <c r="AS58" s="86"/>
      <c r="AT58" s="86"/>
      <c r="AU58" s="86"/>
      <c r="AV58" s="86"/>
      <c r="AW58" s="86"/>
      <c r="AX58" s="86"/>
      <c r="AY58" s="86"/>
    </row>
    <row r="59" spans="7:51" s="8" customFormat="1" ht="12.75" x14ac:dyDescent="0.2">
      <c r="G59" s="1"/>
      <c r="H59" s="2"/>
      <c r="I59" s="1"/>
      <c r="J59" s="66"/>
      <c r="K59" s="67"/>
      <c r="L59" s="72"/>
      <c r="M59" s="67"/>
      <c r="N59" s="67"/>
      <c r="O59" s="67"/>
      <c r="P59" s="67"/>
      <c r="Q59" s="67"/>
      <c r="R59" s="67"/>
      <c r="S59" s="67"/>
      <c r="T59" s="67"/>
      <c r="U59" s="67"/>
      <c r="V59" s="4"/>
      <c r="W59" s="4"/>
      <c r="X59" s="4"/>
      <c r="Y59" s="5"/>
      <c r="Z59" s="5"/>
      <c r="AA59" s="80"/>
      <c r="AB59" s="80"/>
      <c r="AC59" s="80"/>
      <c r="AD59" s="80"/>
      <c r="AE59" s="80"/>
      <c r="AF59" s="80"/>
      <c r="AG59" s="80"/>
      <c r="AH59" s="80"/>
      <c r="AI59" s="6"/>
      <c r="AJ59" s="6"/>
      <c r="AK59" s="83"/>
      <c r="AL59" s="6"/>
      <c r="AM59" s="6"/>
      <c r="AN59" s="6"/>
      <c r="AO59" s="6"/>
      <c r="AP59" s="86"/>
      <c r="AQ59" s="86"/>
      <c r="AR59" s="86"/>
      <c r="AS59" s="86"/>
      <c r="AT59" s="86"/>
      <c r="AU59" s="86"/>
      <c r="AV59" s="86"/>
      <c r="AW59" s="86"/>
      <c r="AX59" s="86"/>
      <c r="AY59" s="86"/>
    </row>
    <row r="60" spans="7:51" s="8" customFormat="1" ht="12.75" x14ac:dyDescent="0.2">
      <c r="G60" s="1"/>
      <c r="H60" s="2"/>
      <c r="I60" s="1"/>
      <c r="J60" s="66"/>
      <c r="K60" s="67"/>
      <c r="L60" s="72"/>
      <c r="M60" s="67"/>
      <c r="N60" s="67"/>
      <c r="O60" s="67"/>
      <c r="P60" s="67"/>
      <c r="Q60" s="67"/>
      <c r="R60" s="67"/>
      <c r="S60" s="67"/>
      <c r="T60" s="67"/>
      <c r="U60" s="67"/>
      <c r="V60" s="4"/>
      <c r="W60" s="4"/>
      <c r="X60" s="4"/>
      <c r="Y60" s="5"/>
      <c r="Z60" s="5"/>
      <c r="AA60" s="80"/>
      <c r="AB60" s="80"/>
      <c r="AC60" s="80"/>
      <c r="AD60" s="80"/>
      <c r="AE60" s="80"/>
      <c r="AF60" s="80"/>
      <c r="AG60" s="80"/>
      <c r="AH60" s="80"/>
      <c r="AI60" s="6"/>
      <c r="AJ60" s="6"/>
      <c r="AK60" s="83"/>
      <c r="AL60" s="6"/>
      <c r="AM60" s="6"/>
      <c r="AN60" s="6"/>
      <c r="AO60" s="6"/>
      <c r="AP60" s="86"/>
      <c r="AQ60" s="86"/>
      <c r="AR60" s="86"/>
      <c r="AS60" s="86"/>
      <c r="AT60" s="86"/>
      <c r="AU60" s="86"/>
      <c r="AV60" s="86"/>
      <c r="AW60" s="86"/>
      <c r="AX60" s="86"/>
      <c r="AY60" s="86"/>
    </row>
    <row r="61" spans="7:51" s="8" customFormat="1" ht="12.75" x14ac:dyDescent="0.2">
      <c r="G61" s="1"/>
      <c r="H61" s="2"/>
      <c r="I61" s="1"/>
      <c r="J61" s="66"/>
      <c r="K61" s="67"/>
      <c r="L61" s="72"/>
      <c r="M61" s="67"/>
      <c r="N61" s="67"/>
      <c r="O61" s="67"/>
      <c r="P61" s="67"/>
      <c r="Q61" s="67"/>
      <c r="R61" s="67"/>
      <c r="S61" s="67"/>
      <c r="T61" s="67"/>
      <c r="U61" s="67"/>
      <c r="V61" s="4"/>
      <c r="W61" s="4"/>
      <c r="X61" s="4"/>
      <c r="Y61" s="5"/>
      <c r="Z61" s="5"/>
      <c r="AA61" s="80"/>
      <c r="AB61" s="80"/>
      <c r="AC61" s="80"/>
      <c r="AD61" s="80"/>
      <c r="AE61" s="80"/>
      <c r="AF61" s="80"/>
      <c r="AG61" s="80"/>
      <c r="AH61" s="80"/>
      <c r="AI61" s="6"/>
      <c r="AJ61" s="6"/>
      <c r="AK61" s="83"/>
      <c r="AL61" s="6"/>
      <c r="AM61" s="6"/>
      <c r="AN61" s="6"/>
      <c r="AO61" s="6"/>
      <c r="AP61" s="86"/>
      <c r="AQ61" s="86"/>
      <c r="AR61" s="86"/>
      <c r="AS61" s="86"/>
      <c r="AT61" s="86"/>
      <c r="AU61" s="86"/>
      <c r="AV61" s="86"/>
      <c r="AW61" s="86"/>
      <c r="AX61" s="86"/>
      <c r="AY61" s="86"/>
    </row>
    <row r="62" spans="7:51" s="8" customFormat="1" ht="12.75" x14ac:dyDescent="0.2">
      <c r="G62" s="1"/>
      <c r="H62" s="2"/>
      <c r="I62" s="1"/>
      <c r="J62" s="66"/>
      <c r="K62" s="67"/>
      <c r="L62" s="72"/>
      <c r="M62" s="67"/>
      <c r="N62" s="67"/>
      <c r="O62" s="67"/>
      <c r="P62" s="67"/>
      <c r="Q62" s="67"/>
      <c r="R62" s="67"/>
      <c r="S62" s="67"/>
      <c r="T62" s="67"/>
      <c r="U62" s="67"/>
      <c r="V62" s="4"/>
      <c r="W62" s="4"/>
      <c r="X62" s="4"/>
      <c r="Y62" s="5"/>
      <c r="Z62" s="5"/>
      <c r="AA62" s="80"/>
      <c r="AB62" s="80"/>
      <c r="AC62" s="80"/>
      <c r="AD62" s="80"/>
      <c r="AE62" s="80"/>
      <c r="AF62" s="80"/>
      <c r="AG62" s="80"/>
      <c r="AH62" s="80"/>
      <c r="AI62" s="6"/>
      <c r="AJ62" s="6"/>
      <c r="AK62" s="83"/>
      <c r="AL62" s="6"/>
      <c r="AM62" s="6"/>
      <c r="AN62" s="6"/>
      <c r="AO62" s="6"/>
      <c r="AP62" s="86"/>
      <c r="AQ62" s="86"/>
      <c r="AR62" s="86"/>
      <c r="AS62" s="86"/>
      <c r="AT62" s="86"/>
      <c r="AU62" s="86"/>
      <c r="AV62" s="86"/>
      <c r="AW62" s="86"/>
      <c r="AX62" s="86"/>
      <c r="AY62" s="86"/>
    </row>
    <row r="63" spans="7:51" s="8" customFormat="1" ht="12.75" x14ac:dyDescent="0.2">
      <c r="G63" s="1"/>
      <c r="H63" s="2"/>
      <c r="I63" s="1"/>
      <c r="J63" s="66"/>
      <c r="K63" s="67"/>
      <c r="L63" s="72"/>
      <c r="M63" s="67"/>
      <c r="N63" s="67"/>
      <c r="O63" s="67"/>
      <c r="P63" s="67"/>
      <c r="Q63" s="67"/>
      <c r="R63" s="67"/>
      <c r="S63" s="67"/>
      <c r="T63" s="67"/>
      <c r="U63" s="67"/>
      <c r="V63" s="4"/>
      <c r="W63" s="4"/>
      <c r="X63" s="4"/>
      <c r="Y63" s="5"/>
      <c r="Z63" s="5"/>
      <c r="AA63" s="80"/>
      <c r="AB63" s="80"/>
      <c r="AC63" s="80"/>
      <c r="AD63" s="80"/>
      <c r="AE63" s="80"/>
      <c r="AF63" s="80"/>
      <c r="AG63" s="80"/>
      <c r="AH63" s="80"/>
      <c r="AI63" s="6"/>
      <c r="AJ63" s="6"/>
      <c r="AK63" s="83"/>
      <c r="AL63" s="6"/>
      <c r="AM63" s="6"/>
      <c r="AN63" s="6"/>
      <c r="AO63" s="6"/>
      <c r="AP63" s="86"/>
      <c r="AQ63" s="86"/>
      <c r="AR63" s="86"/>
      <c r="AS63" s="86"/>
      <c r="AT63" s="86"/>
      <c r="AU63" s="86"/>
      <c r="AV63" s="86"/>
      <c r="AW63" s="86"/>
      <c r="AX63" s="86"/>
      <c r="AY63" s="86"/>
    </row>
    <row r="64" spans="7:51" s="8" customFormat="1" ht="12.75" x14ac:dyDescent="0.2">
      <c r="G64" s="1"/>
      <c r="H64" s="2"/>
      <c r="I64" s="1"/>
      <c r="J64" s="66"/>
      <c r="K64" s="67"/>
      <c r="L64" s="72"/>
      <c r="M64" s="67"/>
      <c r="N64" s="67"/>
      <c r="O64" s="67"/>
      <c r="P64" s="67"/>
      <c r="Q64" s="67"/>
      <c r="R64" s="67"/>
      <c r="S64" s="67"/>
      <c r="T64" s="67"/>
      <c r="U64" s="67"/>
      <c r="V64" s="4"/>
      <c r="W64" s="4"/>
      <c r="X64" s="4"/>
      <c r="Y64" s="5"/>
      <c r="Z64" s="5"/>
      <c r="AA64" s="80"/>
      <c r="AB64" s="80"/>
      <c r="AC64" s="80"/>
      <c r="AD64" s="80"/>
      <c r="AE64" s="80"/>
      <c r="AF64" s="80"/>
      <c r="AG64" s="80"/>
      <c r="AH64" s="80"/>
      <c r="AI64" s="6"/>
      <c r="AJ64" s="6"/>
      <c r="AK64" s="83"/>
      <c r="AL64" s="6"/>
      <c r="AM64" s="6"/>
      <c r="AN64" s="6"/>
      <c r="AO64" s="6"/>
      <c r="AP64" s="86"/>
      <c r="AQ64" s="86"/>
      <c r="AR64" s="86"/>
      <c r="AS64" s="86"/>
      <c r="AT64" s="86"/>
      <c r="AU64" s="86"/>
      <c r="AV64" s="86"/>
      <c r="AW64" s="86"/>
      <c r="AX64" s="86"/>
      <c r="AY64" s="86"/>
    </row>
    <row r="65" spans="7:51" s="8" customFormat="1" ht="12.75" x14ac:dyDescent="0.2">
      <c r="G65" s="1"/>
      <c r="H65" s="2"/>
      <c r="I65" s="1"/>
      <c r="J65" s="66"/>
      <c r="K65" s="67"/>
      <c r="L65" s="72"/>
      <c r="M65" s="67"/>
      <c r="N65" s="67"/>
      <c r="O65" s="67"/>
      <c r="P65" s="67"/>
      <c r="Q65" s="67"/>
      <c r="R65" s="67"/>
      <c r="S65" s="67"/>
      <c r="T65" s="67"/>
      <c r="U65" s="67"/>
      <c r="V65" s="4"/>
      <c r="W65" s="4"/>
      <c r="X65" s="4"/>
      <c r="Y65" s="5"/>
      <c r="Z65" s="5"/>
      <c r="AA65" s="80"/>
      <c r="AB65" s="80"/>
      <c r="AC65" s="80"/>
      <c r="AD65" s="80"/>
      <c r="AE65" s="80"/>
      <c r="AF65" s="80"/>
      <c r="AG65" s="80"/>
      <c r="AH65" s="80"/>
      <c r="AI65" s="6"/>
      <c r="AJ65" s="6"/>
      <c r="AK65" s="83"/>
      <c r="AL65" s="6"/>
      <c r="AM65" s="6"/>
      <c r="AN65" s="6"/>
      <c r="AO65" s="6"/>
      <c r="AP65" s="86"/>
      <c r="AQ65" s="86"/>
      <c r="AR65" s="86"/>
      <c r="AS65" s="86"/>
      <c r="AT65" s="86"/>
      <c r="AU65" s="86"/>
      <c r="AV65" s="86"/>
      <c r="AW65" s="86"/>
      <c r="AX65" s="86"/>
      <c r="AY65" s="86"/>
    </row>
    <row r="66" spans="7:51" s="8" customFormat="1" ht="12.75" x14ac:dyDescent="0.2">
      <c r="G66" s="1"/>
      <c r="H66" s="2"/>
      <c r="I66" s="1"/>
      <c r="J66" s="66"/>
      <c r="K66" s="67"/>
      <c r="L66" s="72"/>
      <c r="M66" s="67"/>
      <c r="N66" s="67"/>
      <c r="O66" s="67"/>
      <c r="P66" s="67"/>
      <c r="Q66" s="67"/>
      <c r="R66" s="67"/>
      <c r="S66" s="67"/>
      <c r="T66" s="67"/>
      <c r="U66" s="67"/>
      <c r="V66" s="4"/>
      <c r="W66" s="4"/>
      <c r="X66" s="4"/>
      <c r="Y66" s="5"/>
      <c r="Z66" s="5"/>
      <c r="AA66" s="80"/>
      <c r="AB66" s="80"/>
      <c r="AC66" s="80"/>
      <c r="AD66" s="80"/>
      <c r="AE66" s="80"/>
      <c r="AF66" s="80"/>
      <c r="AG66" s="80"/>
      <c r="AH66" s="80"/>
      <c r="AI66" s="6"/>
      <c r="AJ66" s="6"/>
      <c r="AK66" s="83"/>
      <c r="AL66" s="6"/>
      <c r="AM66" s="6"/>
      <c r="AN66" s="6"/>
      <c r="AO66" s="6"/>
      <c r="AP66" s="86"/>
      <c r="AQ66" s="86"/>
      <c r="AR66" s="86"/>
      <c r="AS66" s="86"/>
      <c r="AT66" s="86"/>
      <c r="AU66" s="86"/>
      <c r="AV66" s="86"/>
      <c r="AW66" s="86"/>
      <c r="AX66" s="86"/>
      <c r="AY66" s="86"/>
    </row>
    <row r="67" spans="7:51" s="8" customFormat="1" ht="12.75" x14ac:dyDescent="0.2">
      <c r="G67" s="1"/>
      <c r="H67" s="2"/>
      <c r="I67" s="1"/>
      <c r="J67" s="66"/>
      <c r="K67" s="67"/>
      <c r="L67" s="72"/>
      <c r="M67" s="67"/>
      <c r="N67" s="67"/>
      <c r="O67" s="67"/>
      <c r="P67" s="67"/>
      <c r="Q67" s="67"/>
      <c r="R67" s="67"/>
      <c r="S67" s="67"/>
      <c r="T67" s="67"/>
      <c r="U67" s="67"/>
      <c r="V67" s="4"/>
      <c r="W67" s="4"/>
      <c r="X67" s="4"/>
      <c r="Y67" s="5"/>
      <c r="Z67" s="5"/>
      <c r="AA67" s="80"/>
      <c r="AB67" s="80"/>
      <c r="AC67" s="80"/>
      <c r="AD67" s="80"/>
      <c r="AE67" s="80"/>
      <c r="AF67" s="80"/>
      <c r="AG67" s="80"/>
      <c r="AH67" s="80"/>
      <c r="AI67" s="6"/>
      <c r="AJ67" s="6"/>
      <c r="AK67" s="83"/>
      <c r="AL67" s="6"/>
      <c r="AM67" s="6"/>
      <c r="AN67" s="6"/>
      <c r="AO67" s="6"/>
      <c r="AP67" s="86"/>
      <c r="AQ67" s="86"/>
      <c r="AR67" s="86"/>
      <c r="AS67" s="86"/>
      <c r="AT67" s="86"/>
      <c r="AU67" s="86"/>
      <c r="AV67" s="86"/>
      <c r="AW67" s="86"/>
      <c r="AX67" s="86"/>
      <c r="AY67" s="86"/>
    </row>
    <row r="68" spans="7:51" s="8" customFormat="1" ht="12.75" x14ac:dyDescent="0.2">
      <c r="G68" s="1"/>
      <c r="H68" s="2"/>
      <c r="I68" s="1"/>
      <c r="J68" s="66"/>
      <c r="K68" s="67"/>
      <c r="L68" s="72"/>
      <c r="M68" s="67"/>
      <c r="N68" s="67"/>
      <c r="O68" s="67"/>
      <c r="P68" s="67"/>
      <c r="Q68" s="67"/>
      <c r="R68" s="67"/>
      <c r="S68" s="67"/>
      <c r="T68" s="67"/>
      <c r="U68" s="67"/>
      <c r="V68" s="4"/>
      <c r="W68" s="4"/>
      <c r="X68" s="4"/>
      <c r="Y68" s="5"/>
      <c r="Z68" s="5"/>
      <c r="AA68" s="80"/>
      <c r="AB68" s="80"/>
      <c r="AC68" s="80"/>
      <c r="AD68" s="80"/>
      <c r="AE68" s="80"/>
      <c r="AF68" s="80"/>
      <c r="AG68" s="80"/>
      <c r="AH68" s="80"/>
      <c r="AI68" s="6"/>
      <c r="AJ68" s="6"/>
      <c r="AK68" s="83"/>
      <c r="AL68" s="6"/>
      <c r="AM68" s="6"/>
      <c r="AN68" s="6"/>
      <c r="AO68" s="6"/>
      <c r="AP68" s="86"/>
      <c r="AQ68" s="86"/>
      <c r="AR68" s="86"/>
      <c r="AS68" s="86"/>
      <c r="AT68" s="86"/>
      <c r="AU68" s="86"/>
      <c r="AV68" s="86"/>
      <c r="AW68" s="86"/>
      <c r="AX68" s="86"/>
      <c r="AY68" s="86"/>
    </row>
    <row r="69" spans="7:51" s="8" customFormat="1" ht="12.75" x14ac:dyDescent="0.2">
      <c r="G69" s="1"/>
      <c r="H69" s="2"/>
      <c r="I69" s="1"/>
      <c r="J69" s="66"/>
      <c r="K69" s="67"/>
      <c r="L69" s="72"/>
      <c r="M69" s="67"/>
      <c r="N69" s="67"/>
      <c r="O69" s="67"/>
      <c r="P69" s="67"/>
      <c r="Q69" s="67"/>
      <c r="R69" s="67"/>
      <c r="S69" s="67"/>
      <c r="T69" s="67"/>
      <c r="U69" s="67"/>
      <c r="V69" s="4"/>
      <c r="W69" s="4"/>
      <c r="X69" s="4"/>
      <c r="Y69" s="5"/>
      <c r="Z69" s="5"/>
      <c r="AA69" s="80"/>
      <c r="AB69" s="80"/>
      <c r="AC69" s="80"/>
      <c r="AD69" s="80"/>
      <c r="AE69" s="80"/>
      <c r="AF69" s="80"/>
      <c r="AG69" s="80"/>
      <c r="AH69" s="80"/>
      <c r="AI69" s="6"/>
      <c r="AJ69" s="6"/>
      <c r="AK69" s="83"/>
      <c r="AL69" s="6"/>
      <c r="AM69" s="6"/>
      <c r="AN69" s="6"/>
      <c r="AO69" s="6"/>
      <c r="AP69" s="86"/>
      <c r="AQ69" s="86"/>
      <c r="AR69" s="86"/>
      <c r="AS69" s="86"/>
      <c r="AT69" s="86"/>
      <c r="AU69" s="86"/>
      <c r="AV69" s="86"/>
      <c r="AW69" s="86"/>
      <c r="AX69" s="86"/>
      <c r="AY69" s="86"/>
    </row>
    <row r="70" spans="7:51" s="8" customFormat="1" ht="12.75" x14ac:dyDescent="0.2">
      <c r="G70" s="1"/>
      <c r="H70" s="2"/>
      <c r="I70" s="1"/>
      <c r="J70" s="66"/>
      <c r="K70" s="67"/>
      <c r="L70" s="72"/>
      <c r="M70" s="67"/>
      <c r="N70" s="67"/>
      <c r="O70" s="67"/>
      <c r="P70" s="67"/>
      <c r="Q70" s="67"/>
      <c r="R70" s="67"/>
      <c r="S70" s="67"/>
      <c r="T70" s="67"/>
      <c r="U70" s="67"/>
      <c r="V70" s="4"/>
      <c r="W70" s="4"/>
      <c r="X70" s="4"/>
      <c r="Y70" s="5"/>
      <c r="Z70" s="5"/>
      <c r="AA70" s="80"/>
      <c r="AB70" s="80"/>
      <c r="AC70" s="80"/>
      <c r="AD70" s="80"/>
      <c r="AE70" s="80"/>
      <c r="AF70" s="80"/>
      <c r="AG70" s="80"/>
      <c r="AH70" s="80"/>
      <c r="AI70" s="6"/>
      <c r="AJ70" s="6"/>
      <c r="AK70" s="83"/>
      <c r="AL70" s="6"/>
      <c r="AM70" s="6"/>
      <c r="AN70" s="6"/>
      <c r="AO70" s="6"/>
      <c r="AP70" s="86"/>
      <c r="AQ70" s="86"/>
      <c r="AR70" s="86"/>
      <c r="AS70" s="86"/>
      <c r="AT70" s="86"/>
      <c r="AU70" s="86"/>
      <c r="AV70" s="86"/>
      <c r="AW70" s="86"/>
      <c r="AX70" s="86"/>
      <c r="AY70" s="86"/>
    </row>
    <row r="71" spans="7:51" s="8" customFormat="1" ht="12.75" x14ac:dyDescent="0.2">
      <c r="G71" s="1"/>
      <c r="H71" s="2"/>
      <c r="I71" s="1"/>
      <c r="J71" s="66"/>
      <c r="K71" s="67"/>
      <c r="L71" s="72"/>
      <c r="M71" s="67"/>
      <c r="N71" s="67"/>
      <c r="O71" s="67"/>
      <c r="P71" s="67"/>
      <c r="Q71" s="67"/>
      <c r="R71" s="67"/>
      <c r="S71" s="67"/>
      <c r="T71" s="67"/>
      <c r="U71" s="67"/>
      <c r="V71" s="4"/>
      <c r="W71" s="4"/>
      <c r="X71" s="4"/>
      <c r="Y71" s="5"/>
      <c r="Z71" s="5"/>
      <c r="AA71" s="80"/>
      <c r="AB71" s="80"/>
      <c r="AC71" s="80"/>
      <c r="AD71" s="80"/>
      <c r="AE71" s="80"/>
      <c r="AF71" s="80"/>
      <c r="AG71" s="80"/>
      <c r="AH71" s="80"/>
      <c r="AI71" s="6"/>
      <c r="AJ71" s="6"/>
      <c r="AK71" s="83"/>
      <c r="AL71" s="6"/>
      <c r="AM71" s="6"/>
      <c r="AN71" s="6"/>
      <c r="AO71" s="6"/>
      <c r="AP71" s="86"/>
      <c r="AQ71" s="86"/>
      <c r="AR71" s="86"/>
      <c r="AS71" s="86"/>
      <c r="AT71" s="86"/>
      <c r="AU71" s="86"/>
      <c r="AV71" s="86"/>
      <c r="AW71" s="86"/>
      <c r="AX71" s="86"/>
      <c r="AY71" s="86"/>
    </row>
    <row r="72" spans="7:51" s="8" customFormat="1" ht="12.75" x14ac:dyDescent="0.2">
      <c r="G72" s="1"/>
      <c r="H72" s="2"/>
      <c r="I72" s="1"/>
      <c r="J72" s="66"/>
      <c r="K72" s="67"/>
      <c r="L72" s="72"/>
      <c r="M72" s="67"/>
      <c r="N72" s="67"/>
      <c r="O72" s="67"/>
      <c r="P72" s="67"/>
      <c r="Q72" s="67"/>
      <c r="R72" s="67"/>
      <c r="S72" s="67"/>
      <c r="T72" s="67"/>
      <c r="U72" s="67"/>
      <c r="V72" s="4"/>
      <c r="W72" s="4"/>
      <c r="X72" s="4"/>
      <c r="Y72" s="5"/>
      <c r="Z72" s="5"/>
      <c r="AA72" s="80"/>
      <c r="AB72" s="80"/>
      <c r="AC72" s="80"/>
      <c r="AD72" s="80"/>
      <c r="AE72" s="80"/>
      <c r="AF72" s="80"/>
      <c r="AG72" s="80"/>
      <c r="AH72" s="80"/>
      <c r="AI72" s="6"/>
      <c r="AJ72" s="6"/>
      <c r="AK72" s="83"/>
      <c r="AL72" s="6"/>
      <c r="AM72" s="6"/>
      <c r="AN72" s="6"/>
      <c r="AO72" s="6"/>
      <c r="AP72" s="86"/>
      <c r="AQ72" s="86"/>
      <c r="AR72" s="86"/>
      <c r="AS72" s="86"/>
      <c r="AT72" s="86"/>
      <c r="AU72" s="86"/>
      <c r="AV72" s="86"/>
      <c r="AW72" s="86"/>
      <c r="AX72" s="86"/>
      <c r="AY72" s="86"/>
    </row>
    <row r="73" spans="7:51" s="8" customFormat="1" ht="12.75" x14ac:dyDescent="0.2">
      <c r="G73" s="1"/>
      <c r="H73" s="2"/>
      <c r="I73" s="1"/>
      <c r="J73" s="66"/>
      <c r="K73" s="67"/>
      <c r="L73" s="72"/>
      <c r="M73" s="67"/>
      <c r="N73" s="67"/>
      <c r="O73" s="67"/>
      <c r="P73" s="67"/>
      <c r="Q73" s="67"/>
      <c r="R73" s="67"/>
      <c r="S73" s="67"/>
      <c r="T73" s="67"/>
      <c r="U73" s="67"/>
      <c r="V73" s="4"/>
      <c r="W73" s="4"/>
      <c r="X73" s="4"/>
      <c r="Y73" s="5"/>
      <c r="Z73" s="5"/>
      <c r="AA73" s="80"/>
      <c r="AB73" s="80"/>
      <c r="AC73" s="80"/>
      <c r="AD73" s="80"/>
      <c r="AE73" s="80"/>
      <c r="AF73" s="80"/>
      <c r="AG73" s="80"/>
      <c r="AH73" s="80"/>
      <c r="AI73" s="6"/>
      <c r="AJ73" s="6"/>
      <c r="AK73" s="83"/>
      <c r="AL73" s="6"/>
      <c r="AM73" s="6"/>
      <c r="AN73" s="6"/>
      <c r="AO73" s="6"/>
      <c r="AP73" s="86"/>
      <c r="AQ73" s="86"/>
      <c r="AR73" s="86"/>
      <c r="AS73" s="86"/>
      <c r="AT73" s="86"/>
      <c r="AU73" s="86"/>
      <c r="AV73" s="86"/>
      <c r="AW73" s="86"/>
      <c r="AX73" s="86"/>
      <c r="AY73" s="86"/>
    </row>
    <row r="74" spans="7:51" s="8" customFormat="1" ht="12.75" x14ac:dyDescent="0.2">
      <c r="G74" s="1"/>
      <c r="H74" s="2"/>
      <c r="I74" s="1"/>
      <c r="J74" s="66"/>
      <c r="K74" s="67"/>
      <c r="L74" s="72"/>
      <c r="M74" s="67"/>
      <c r="N74" s="67"/>
      <c r="O74" s="67"/>
      <c r="P74" s="67"/>
      <c r="Q74" s="67"/>
      <c r="R74" s="67"/>
      <c r="S74" s="67"/>
      <c r="T74" s="67"/>
      <c r="U74" s="67"/>
      <c r="V74" s="4"/>
      <c r="W74" s="4"/>
      <c r="X74" s="4"/>
      <c r="Y74" s="5"/>
      <c r="Z74" s="5"/>
      <c r="AA74" s="80"/>
      <c r="AB74" s="80"/>
      <c r="AC74" s="80"/>
      <c r="AD74" s="80"/>
      <c r="AE74" s="80"/>
      <c r="AF74" s="80"/>
      <c r="AG74" s="80"/>
      <c r="AH74" s="80"/>
      <c r="AI74" s="6"/>
      <c r="AJ74" s="6"/>
      <c r="AK74" s="83"/>
      <c r="AL74" s="6"/>
      <c r="AM74" s="6"/>
      <c r="AN74" s="6"/>
      <c r="AO74" s="6"/>
      <c r="AP74" s="86"/>
      <c r="AQ74" s="86"/>
      <c r="AR74" s="86"/>
      <c r="AS74" s="86"/>
      <c r="AT74" s="86"/>
      <c r="AU74" s="86"/>
      <c r="AV74" s="86"/>
      <c r="AW74" s="86"/>
      <c r="AX74" s="86"/>
      <c r="AY74" s="86"/>
    </row>
    <row r="75" spans="7:51" s="8" customFormat="1" ht="12.75" x14ac:dyDescent="0.2">
      <c r="G75" s="1"/>
      <c r="H75" s="2"/>
      <c r="I75" s="1"/>
      <c r="J75" s="66"/>
      <c r="K75" s="67"/>
      <c r="L75" s="72"/>
      <c r="M75" s="67"/>
      <c r="N75" s="67"/>
      <c r="O75" s="67"/>
      <c r="P75" s="67"/>
      <c r="Q75" s="67"/>
      <c r="R75" s="67"/>
      <c r="S75" s="67"/>
      <c r="T75" s="67"/>
      <c r="U75" s="67"/>
      <c r="V75" s="4"/>
      <c r="W75" s="4"/>
      <c r="X75" s="4"/>
      <c r="Y75" s="5"/>
      <c r="Z75" s="5"/>
      <c r="AA75" s="80"/>
      <c r="AB75" s="80"/>
      <c r="AC75" s="80"/>
      <c r="AD75" s="80"/>
      <c r="AE75" s="80"/>
      <c r="AF75" s="80"/>
      <c r="AG75" s="80"/>
      <c r="AH75" s="80"/>
      <c r="AI75" s="6"/>
      <c r="AJ75" s="6"/>
      <c r="AK75" s="83"/>
      <c r="AL75" s="6"/>
      <c r="AM75" s="6"/>
      <c r="AN75" s="6"/>
      <c r="AO75" s="6"/>
      <c r="AP75" s="86"/>
      <c r="AQ75" s="86"/>
      <c r="AR75" s="86"/>
      <c r="AS75" s="86"/>
      <c r="AT75" s="86"/>
      <c r="AU75" s="86"/>
      <c r="AV75" s="86"/>
      <c r="AW75" s="86"/>
      <c r="AX75" s="86"/>
      <c r="AY75" s="86"/>
    </row>
    <row r="76" spans="7:51" s="8" customFormat="1" ht="12.75" x14ac:dyDescent="0.2">
      <c r="G76" s="1"/>
      <c r="H76" s="2"/>
      <c r="I76" s="1"/>
      <c r="J76" s="66"/>
      <c r="K76" s="67"/>
      <c r="L76" s="72"/>
      <c r="M76" s="67"/>
      <c r="N76" s="67"/>
      <c r="O76" s="67"/>
      <c r="P76" s="67"/>
      <c r="Q76" s="67"/>
      <c r="R76" s="67"/>
      <c r="S76" s="67"/>
      <c r="T76" s="67"/>
      <c r="U76" s="67"/>
      <c r="V76" s="4"/>
      <c r="W76" s="4"/>
      <c r="X76" s="4"/>
      <c r="Y76" s="5"/>
      <c r="Z76" s="5"/>
      <c r="AA76" s="80"/>
      <c r="AB76" s="80"/>
      <c r="AC76" s="80"/>
      <c r="AD76" s="80"/>
      <c r="AE76" s="80"/>
      <c r="AF76" s="80"/>
      <c r="AG76" s="80"/>
      <c r="AH76" s="80"/>
      <c r="AI76" s="6"/>
      <c r="AJ76" s="6"/>
      <c r="AK76" s="83"/>
      <c r="AL76" s="6"/>
      <c r="AM76" s="6"/>
      <c r="AN76" s="6"/>
      <c r="AO76" s="6"/>
      <c r="AP76" s="86"/>
      <c r="AQ76" s="86"/>
      <c r="AR76" s="86"/>
      <c r="AS76" s="86"/>
      <c r="AT76" s="86"/>
      <c r="AU76" s="86"/>
      <c r="AV76" s="86"/>
      <c r="AW76" s="86"/>
      <c r="AX76" s="86"/>
      <c r="AY76" s="86"/>
    </row>
    <row r="77" spans="7:51" s="8" customFormat="1" ht="12.75" x14ac:dyDescent="0.2">
      <c r="G77" s="1"/>
      <c r="H77" s="2"/>
      <c r="I77" s="1"/>
      <c r="J77" s="66"/>
      <c r="K77" s="67"/>
      <c r="L77" s="72"/>
      <c r="M77" s="67"/>
      <c r="N77" s="67"/>
      <c r="O77" s="67"/>
      <c r="P77" s="67"/>
      <c r="Q77" s="67"/>
      <c r="R77" s="67"/>
      <c r="S77" s="67"/>
      <c r="T77" s="67"/>
      <c r="U77" s="67"/>
      <c r="V77" s="4"/>
      <c r="W77" s="4"/>
      <c r="X77" s="4"/>
      <c r="Y77" s="5"/>
      <c r="Z77" s="5"/>
      <c r="AA77" s="80"/>
      <c r="AB77" s="80"/>
      <c r="AC77" s="80"/>
      <c r="AD77" s="80"/>
      <c r="AE77" s="80"/>
      <c r="AF77" s="80"/>
      <c r="AG77" s="80"/>
      <c r="AH77" s="80"/>
      <c r="AI77" s="6"/>
      <c r="AJ77" s="6"/>
      <c r="AK77" s="83"/>
      <c r="AL77" s="6"/>
      <c r="AM77" s="6"/>
      <c r="AN77" s="6"/>
      <c r="AO77" s="6"/>
      <c r="AP77" s="86"/>
      <c r="AQ77" s="86"/>
      <c r="AR77" s="86"/>
      <c r="AS77" s="86"/>
      <c r="AT77" s="86"/>
      <c r="AU77" s="86"/>
      <c r="AV77" s="86"/>
      <c r="AW77" s="86"/>
      <c r="AX77" s="86"/>
      <c r="AY77" s="86"/>
    </row>
    <row r="78" spans="7:51" s="8" customFormat="1" ht="12.75" x14ac:dyDescent="0.2">
      <c r="G78" s="1"/>
      <c r="H78" s="2"/>
      <c r="I78" s="1"/>
      <c r="J78" s="66"/>
      <c r="K78" s="67"/>
      <c r="L78" s="72"/>
      <c r="M78" s="67"/>
      <c r="N78" s="67"/>
      <c r="O78" s="67"/>
      <c r="P78" s="67"/>
      <c r="Q78" s="67"/>
      <c r="R78" s="67"/>
      <c r="S78" s="67"/>
      <c r="T78" s="67"/>
      <c r="U78" s="67"/>
      <c r="V78" s="4"/>
      <c r="W78" s="4"/>
      <c r="X78" s="4"/>
      <c r="Y78" s="5"/>
      <c r="Z78" s="5"/>
      <c r="AA78" s="80"/>
      <c r="AB78" s="80"/>
      <c r="AC78" s="80"/>
      <c r="AD78" s="80"/>
      <c r="AE78" s="80"/>
      <c r="AF78" s="80"/>
      <c r="AG78" s="80"/>
      <c r="AH78" s="80"/>
      <c r="AI78" s="6"/>
      <c r="AJ78" s="6"/>
      <c r="AK78" s="83"/>
      <c r="AL78" s="6"/>
      <c r="AM78" s="6"/>
      <c r="AN78" s="6"/>
      <c r="AO78" s="6"/>
      <c r="AP78" s="86"/>
      <c r="AQ78" s="86"/>
      <c r="AR78" s="86"/>
      <c r="AS78" s="86"/>
      <c r="AT78" s="86"/>
      <c r="AU78" s="86"/>
      <c r="AV78" s="86"/>
      <c r="AW78" s="86"/>
      <c r="AX78" s="86"/>
      <c r="AY78" s="86"/>
    </row>
    <row r="79" spans="7:51" s="8" customFormat="1" ht="12.75" x14ac:dyDescent="0.2">
      <c r="G79" s="1"/>
      <c r="H79" s="2"/>
      <c r="I79" s="1"/>
      <c r="J79" s="66"/>
      <c r="K79" s="67"/>
      <c r="L79" s="72"/>
      <c r="M79" s="67"/>
      <c r="N79" s="67"/>
      <c r="O79" s="67"/>
      <c r="P79" s="67"/>
      <c r="Q79" s="67"/>
      <c r="R79" s="67"/>
      <c r="S79" s="67"/>
      <c r="T79" s="67"/>
      <c r="U79" s="67"/>
      <c r="V79" s="4"/>
      <c r="W79" s="4"/>
      <c r="X79" s="4"/>
      <c r="Y79" s="5"/>
      <c r="Z79" s="5"/>
      <c r="AA79" s="80"/>
      <c r="AB79" s="80"/>
      <c r="AC79" s="80"/>
      <c r="AD79" s="80"/>
      <c r="AE79" s="80"/>
      <c r="AF79" s="80"/>
      <c r="AG79" s="80"/>
      <c r="AH79" s="80"/>
      <c r="AI79" s="6"/>
      <c r="AJ79" s="6"/>
      <c r="AK79" s="83"/>
      <c r="AL79" s="6"/>
      <c r="AM79" s="6"/>
      <c r="AN79" s="6"/>
      <c r="AO79" s="6"/>
      <c r="AP79" s="86"/>
      <c r="AQ79" s="86"/>
      <c r="AR79" s="86"/>
      <c r="AS79" s="86"/>
      <c r="AT79" s="86"/>
      <c r="AU79" s="86"/>
      <c r="AV79" s="86"/>
      <c r="AW79" s="86"/>
      <c r="AX79" s="86"/>
      <c r="AY79" s="86"/>
    </row>
    <row r="80" spans="7:51" s="8" customFormat="1" ht="12.75" x14ac:dyDescent="0.2">
      <c r="G80" s="1"/>
      <c r="H80" s="2"/>
      <c r="I80" s="1"/>
      <c r="J80" s="66"/>
      <c r="K80" s="67"/>
      <c r="L80" s="72"/>
      <c r="M80" s="67"/>
      <c r="N80" s="67"/>
      <c r="O80" s="67"/>
      <c r="P80" s="67"/>
      <c r="Q80" s="67"/>
      <c r="R80" s="67"/>
      <c r="S80" s="67"/>
      <c r="T80" s="67"/>
      <c r="U80" s="67"/>
      <c r="V80" s="4"/>
      <c r="W80" s="4"/>
      <c r="X80" s="4"/>
      <c r="Y80" s="5"/>
      <c r="Z80" s="5"/>
      <c r="AA80" s="80"/>
      <c r="AB80" s="80"/>
      <c r="AC80" s="80"/>
      <c r="AD80" s="80"/>
      <c r="AE80" s="80"/>
      <c r="AF80" s="80"/>
      <c r="AG80" s="80"/>
      <c r="AH80" s="80"/>
      <c r="AI80" s="6"/>
      <c r="AJ80" s="6"/>
      <c r="AK80" s="83"/>
      <c r="AL80" s="6"/>
      <c r="AM80" s="6"/>
      <c r="AN80" s="6"/>
      <c r="AO80" s="6"/>
      <c r="AP80" s="86"/>
      <c r="AQ80" s="86"/>
      <c r="AR80" s="86"/>
      <c r="AS80" s="86"/>
      <c r="AT80" s="86"/>
      <c r="AU80" s="86"/>
      <c r="AV80" s="86"/>
      <c r="AW80" s="86"/>
      <c r="AX80" s="86"/>
      <c r="AY80" s="86"/>
    </row>
    <row r="81" spans="7:51" s="8" customFormat="1" ht="12.75" x14ac:dyDescent="0.2">
      <c r="G81" s="1"/>
      <c r="H81" s="2"/>
      <c r="I81" s="1"/>
      <c r="J81" s="66"/>
      <c r="K81" s="67"/>
      <c r="L81" s="72"/>
      <c r="M81" s="67"/>
      <c r="N81" s="67"/>
      <c r="O81" s="67"/>
      <c r="P81" s="67"/>
      <c r="Q81" s="67"/>
      <c r="R81" s="67"/>
      <c r="S81" s="67"/>
      <c r="T81" s="67"/>
      <c r="U81" s="67"/>
      <c r="V81" s="4"/>
      <c r="W81" s="4"/>
      <c r="X81" s="4"/>
      <c r="Y81" s="5"/>
      <c r="Z81" s="5"/>
      <c r="AA81" s="80"/>
      <c r="AB81" s="80"/>
      <c r="AC81" s="80"/>
      <c r="AD81" s="80"/>
      <c r="AE81" s="80"/>
      <c r="AF81" s="80"/>
      <c r="AG81" s="80"/>
      <c r="AH81" s="80"/>
      <c r="AI81" s="6"/>
      <c r="AJ81" s="6"/>
      <c r="AK81" s="83"/>
      <c r="AL81" s="6"/>
      <c r="AM81" s="6"/>
      <c r="AN81" s="6"/>
      <c r="AO81" s="6"/>
      <c r="AP81" s="86"/>
      <c r="AQ81" s="86"/>
      <c r="AR81" s="86"/>
      <c r="AS81" s="86"/>
      <c r="AT81" s="86"/>
      <c r="AU81" s="86"/>
      <c r="AV81" s="86"/>
      <c r="AW81" s="86"/>
      <c r="AX81" s="86"/>
      <c r="AY81" s="86"/>
    </row>
    <row r="82" spans="7:51" s="8" customFormat="1" ht="12.75" x14ac:dyDescent="0.2">
      <c r="G82" s="1"/>
      <c r="H82" s="2"/>
      <c r="I82" s="1"/>
      <c r="J82" s="66"/>
      <c r="K82" s="67"/>
      <c r="L82" s="72"/>
      <c r="M82" s="67"/>
      <c r="N82" s="67"/>
      <c r="O82" s="67"/>
      <c r="P82" s="67"/>
      <c r="Q82" s="67"/>
      <c r="R82" s="67"/>
      <c r="S82" s="67"/>
      <c r="T82" s="67"/>
      <c r="U82" s="67"/>
      <c r="V82" s="4"/>
      <c r="W82" s="4"/>
      <c r="X82" s="4"/>
      <c r="Y82" s="5"/>
      <c r="Z82" s="5"/>
      <c r="AA82" s="80"/>
      <c r="AB82" s="80"/>
      <c r="AC82" s="80"/>
      <c r="AD82" s="80"/>
      <c r="AE82" s="80"/>
      <c r="AF82" s="80"/>
      <c r="AG82" s="80"/>
      <c r="AH82" s="80"/>
      <c r="AI82" s="6"/>
      <c r="AJ82" s="6"/>
      <c r="AK82" s="83"/>
      <c r="AL82" s="6"/>
      <c r="AM82" s="6"/>
      <c r="AN82" s="6"/>
      <c r="AO82" s="6"/>
      <c r="AP82" s="86"/>
      <c r="AQ82" s="86"/>
      <c r="AR82" s="86"/>
      <c r="AS82" s="86"/>
      <c r="AT82" s="86"/>
      <c r="AU82" s="86"/>
      <c r="AV82" s="86"/>
      <c r="AW82" s="86"/>
      <c r="AX82" s="86"/>
      <c r="AY82" s="86"/>
    </row>
    <row r="83" spans="7:51" s="8" customFormat="1" ht="12.75" x14ac:dyDescent="0.2">
      <c r="G83" s="1"/>
      <c r="H83" s="2"/>
      <c r="I83" s="1"/>
      <c r="J83" s="66"/>
      <c r="K83" s="67"/>
      <c r="L83" s="72"/>
      <c r="M83" s="67"/>
      <c r="N83" s="67"/>
      <c r="O83" s="67"/>
      <c r="P83" s="67"/>
      <c r="Q83" s="67"/>
      <c r="R83" s="67"/>
      <c r="S83" s="67"/>
      <c r="T83" s="67"/>
      <c r="U83" s="67"/>
      <c r="V83" s="4"/>
      <c r="W83" s="4"/>
      <c r="X83" s="4"/>
      <c r="Y83" s="5"/>
      <c r="Z83" s="5"/>
      <c r="AA83" s="80"/>
      <c r="AB83" s="80"/>
      <c r="AC83" s="80"/>
      <c r="AD83" s="80"/>
      <c r="AE83" s="80"/>
      <c r="AF83" s="80"/>
      <c r="AG83" s="80"/>
      <c r="AH83" s="80"/>
      <c r="AI83" s="6"/>
      <c r="AJ83" s="6"/>
      <c r="AK83" s="83"/>
      <c r="AL83" s="6"/>
      <c r="AM83" s="6"/>
      <c r="AN83" s="6"/>
      <c r="AO83" s="6"/>
      <c r="AP83" s="86"/>
      <c r="AQ83" s="86"/>
      <c r="AR83" s="86"/>
      <c r="AS83" s="86"/>
      <c r="AT83" s="86"/>
      <c r="AU83" s="86"/>
      <c r="AV83" s="86"/>
      <c r="AW83" s="86"/>
      <c r="AX83" s="86"/>
      <c r="AY83" s="86"/>
    </row>
    <row r="84" spans="7:51" s="8" customFormat="1" ht="12.75" x14ac:dyDescent="0.2">
      <c r="G84" s="1"/>
      <c r="H84" s="2"/>
      <c r="I84" s="1"/>
      <c r="J84" s="66"/>
      <c r="K84" s="67"/>
      <c r="L84" s="72"/>
      <c r="M84" s="67"/>
      <c r="N84" s="67"/>
      <c r="O84" s="67"/>
      <c r="P84" s="67"/>
      <c r="Q84" s="67"/>
      <c r="R84" s="67"/>
      <c r="S84" s="67"/>
      <c r="T84" s="67"/>
      <c r="U84" s="67"/>
      <c r="V84" s="4"/>
      <c r="W84" s="4"/>
      <c r="X84" s="4"/>
      <c r="Y84" s="5"/>
      <c r="Z84" s="5"/>
      <c r="AA84" s="80"/>
      <c r="AB84" s="80"/>
      <c r="AC84" s="80"/>
      <c r="AD84" s="80"/>
      <c r="AE84" s="80"/>
      <c r="AF84" s="80"/>
      <c r="AG84" s="80"/>
      <c r="AH84" s="80"/>
      <c r="AI84" s="6"/>
      <c r="AJ84" s="6"/>
      <c r="AK84" s="83"/>
      <c r="AL84" s="6"/>
      <c r="AM84" s="6"/>
      <c r="AN84" s="6"/>
      <c r="AO84" s="6"/>
      <c r="AP84" s="86"/>
      <c r="AQ84" s="86"/>
      <c r="AR84" s="86"/>
      <c r="AS84" s="86"/>
      <c r="AT84" s="86"/>
      <c r="AU84" s="86"/>
      <c r="AV84" s="86"/>
      <c r="AW84" s="86"/>
      <c r="AX84" s="86"/>
      <c r="AY84" s="86"/>
    </row>
    <row r="85" spans="7:51" s="8" customFormat="1" ht="12.75" x14ac:dyDescent="0.2">
      <c r="G85" s="1"/>
      <c r="H85" s="2"/>
      <c r="I85" s="1"/>
      <c r="J85" s="66"/>
      <c r="K85" s="67"/>
      <c r="L85" s="72"/>
      <c r="M85" s="67"/>
      <c r="N85" s="67"/>
      <c r="O85" s="67"/>
      <c r="P85" s="67"/>
      <c r="Q85" s="67"/>
      <c r="R85" s="67"/>
      <c r="S85" s="67"/>
      <c r="T85" s="67"/>
      <c r="U85" s="67"/>
      <c r="V85" s="4"/>
      <c r="W85" s="4"/>
      <c r="X85" s="4"/>
      <c r="Y85" s="5"/>
      <c r="Z85" s="5"/>
      <c r="AA85" s="80"/>
      <c r="AB85" s="80"/>
      <c r="AC85" s="80"/>
      <c r="AD85" s="80"/>
      <c r="AE85" s="80"/>
      <c r="AF85" s="80"/>
      <c r="AG85" s="80"/>
      <c r="AH85" s="80"/>
      <c r="AI85" s="6"/>
      <c r="AJ85" s="6"/>
      <c r="AK85" s="83"/>
      <c r="AL85" s="6"/>
      <c r="AM85" s="6"/>
      <c r="AN85" s="6"/>
      <c r="AO85" s="6"/>
      <c r="AP85" s="86"/>
      <c r="AQ85" s="86"/>
      <c r="AR85" s="86"/>
      <c r="AS85" s="86"/>
      <c r="AT85" s="86"/>
      <c r="AU85" s="86"/>
      <c r="AV85" s="86"/>
      <c r="AW85" s="86"/>
      <c r="AX85" s="86"/>
      <c r="AY85" s="86"/>
    </row>
    <row r="86" spans="7:51" s="8" customFormat="1" ht="12.75" x14ac:dyDescent="0.2">
      <c r="G86" s="1"/>
      <c r="H86" s="2"/>
      <c r="I86" s="1"/>
      <c r="J86" s="66"/>
      <c r="K86" s="67"/>
      <c r="L86" s="72"/>
      <c r="M86" s="67"/>
      <c r="N86" s="67"/>
      <c r="O86" s="67"/>
      <c r="P86" s="67"/>
      <c r="Q86" s="67"/>
      <c r="R86" s="67"/>
      <c r="S86" s="67"/>
      <c r="T86" s="67"/>
      <c r="U86" s="67"/>
      <c r="V86" s="4"/>
      <c r="W86" s="4"/>
      <c r="X86" s="4"/>
      <c r="Y86" s="5"/>
      <c r="Z86" s="5"/>
      <c r="AA86" s="80"/>
      <c r="AB86" s="80"/>
      <c r="AC86" s="80"/>
      <c r="AD86" s="80"/>
      <c r="AE86" s="80"/>
      <c r="AF86" s="80"/>
      <c r="AG86" s="80"/>
      <c r="AH86" s="80"/>
      <c r="AI86" s="6"/>
      <c r="AJ86" s="6"/>
      <c r="AK86" s="83"/>
      <c r="AL86" s="6"/>
      <c r="AM86" s="6"/>
      <c r="AN86" s="6"/>
      <c r="AO86" s="6"/>
      <c r="AP86" s="86"/>
      <c r="AQ86" s="86"/>
      <c r="AR86" s="86"/>
      <c r="AS86" s="86"/>
      <c r="AT86" s="86"/>
      <c r="AU86" s="86"/>
      <c r="AV86" s="86"/>
      <c r="AW86" s="86"/>
      <c r="AX86" s="86"/>
      <c r="AY86" s="86"/>
    </row>
    <row r="87" spans="7:51" s="8" customFormat="1" ht="12.75" x14ac:dyDescent="0.2">
      <c r="G87" s="1"/>
      <c r="H87" s="2"/>
      <c r="I87" s="1"/>
      <c r="J87" s="66"/>
      <c r="K87" s="67"/>
      <c r="L87" s="72"/>
      <c r="M87" s="67"/>
      <c r="N87" s="67"/>
      <c r="O87" s="67"/>
      <c r="P87" s="67"/>
      <c r="Q87" s="67"/>
      <c r="R87" s="67"/>
      <c r="S87" s="67"/>
      <c r="T87" s="67"/>
      <c r="U87" s="67"/>
      <c r="V87" s="4"/>
      <c r="W87" s="4"/>
      <c r="X87" s="4"/>
      <c r="Y87" s="5"/>
      <c r="Z87" s="5"/>
      <c r="AA87" s="80"/>
      <c r="AB87" s="80"/>
      <c r="AC87" s="80"/>
      <c r="AD87" s="80"/>
      <c r="AE87" s="80"/>
      <c r="AF87" s="80"/>
      <c r="AG87" s="80"/>
      <c r="AH87" s="80"/>
      <c r="AI87" s="6"/>
      <c r="AJ87" s="6"/>
      <c r="AK87" s="83"/>
      <c r="AL87" s="6"/>
      <c r="AM87" s="6"/>
      <c r="AN87" s="6"/>
      <c r="AO87" s="6"/>
      <c r="AP87" s="86"/>
      <c r="AQ87" s="86"/>
      <c r="AR87" s="86"/>
      <c r="AS87" s="86"/>
      <c r="AT87" s="86"/>
      <c r="AU87" s="86"/>
      <c r="AV87" s="86"/>
      <c r="AW87" s="86"/>
      <c r="AX87" s="86"/>
      <c r="AY87" s="86"/>
    </row>
    <row r="88" spans="7:51" s="8" customFormat="1" ht="12.75" x14ac:dyDescent="0.2">
      <c r="G88" s="1"/>
      <c r="H88" s="2"/>
      <c r="I88" s="1"/>
      <c r="J88" s="66"/>
      <c r="K88" s="67"/>
      <c r="L88" s="72"/>
      <c r="M88" s="67"/>
      <c r="N88" s="67"/>
      <c r="O88" s="67"/>
      <c r="P88" s="67"/>
      <c r="Q88" s="67"/>
      <c r="R88" s="67"/>
      <c r="S88" s="67"/>
      <c r="T88" s="67"/>
      <c r="U88" s="67"/>
      <c r="V88" s="4"/>
      <c r="W88" s="4"/>
      <c r="X88" s="4"/>
      <c r="Y88" s="5"/>
      <c r="Z88" s="5"/>
      <c r="AA88" s="80"/>
      <c r="AB88" s="80"/>
      <c r="AC88" s="80"/>
      <c r="AD88" s="80"/>
      <c r="AE88" s="80"/>
      <c r="AF88" s="80"/>
      <c r="AG88" s="80"/>
      <c r="AH88" s="80"/>
      <c r="AI88" s="6"/>
      <c r="AJ88" s="6"/>
      <c r="AK88" s="83"/>
      <c r="AL88" s="6"/>
      <c r="AM88" s="6"/>
      <c r="AN88" s="6"/>
      <c r="AO88" s="6"/>
      <c r="AP88" s="86"/>
      <c r="AQ88" s="86"/>
      <c r="AR88" s="86"/>
      <c r="AS88" s="86"/>
      <c r="AT88" s="86"/>
      <c r="AU88" s="86"/>
      <c r="AV88" s="86"/>
      <c r="AW88" s="86"/>
      <c r="AX88" s="86"/>
      <c r="AY88" s="86"/>
    </row>
    <row r="89" spans="7:51" s="8" customFormat="1" ht="12.75" x14ac:dyDescent="0.2">
      <c r="G89" s="1"/>
      <c r="H89" s="2"/>
      <c r="I89" s="1"/>
      <c r="J89" s="66"/>
      <c r="K89" s="67"/>
      <c r="L89" s="72"/>
      <c r="M89" s="67"/>
      <c r="N89" s="67"/>
      <c r="O89" s="67"/>
      <c r="P89" s="67"/>
      <c r="Q89" s="67"/>
      <c r="R89" s="67"/>
      <c r="S89" s="67"/>
      <c r="T89" s="67"/>
      <c r="U89" s="67"/>
      <c r="V89" s="4"/>
      <c r="W89" s="4"/>
      <c r="X89" s="4"/>
      <c r="Y89" s="5"/>
      <c r="Z89" s="5"/>
      <c r="AA89" s="80"/>
      <c r="AB89" s="80"/>
      <c r="AC89" s="80"/>
      <c r="AD89" s="80"/>
      <c r="AE89" s="80"/>
      <c r="AF89" s="80"/>
      <c r="AG89" s="80"/>
      <c r="AH89" s="80"/>
      <c r="AI89" s="6"/>
      <c r="AJ89" s="6"/>
      <c r="AK89" s="83"/>
      <c r="AL89" s="6"/>
      <c r="AM89" s="6"/>
      <c r="AN89" s="6"/>
      <c r="AO89" s="6"/>
      <c r="AP89" s="86"/>
      <c r="AQ89" s="86"/>
      <c r="AR89" s="86"/>
      <c r="AS89" s="86"/>
      <c r="AT89" s="86"/>
      <c r="AU89" s="86"/>
      <c r="AV89" s="86"/>
      <c r="AW89" s="86"/>
      <c r="AX89" s="86"/>
      <c r="AY89" s="86"/>
    </row>
    <row r="90" spans="7:51" s="8" customFormat="1" ht="12.75" x14ac:dyDescent="0.2">
      <c r="G90" s="1"/>
      <c r="H90" s="2"/>
      <c r="I90" s="1"/>
      <c r="J90" s="66"/>
      <c r="K90" s="67"/>
      <c r="L90" s="72"/>
      <c r="M90" s="67"/>
      <c r="N90" s="67"/>
      <c r="O90" s="67"/>
      <c r="P90" s="67"/>
      <c r="Q90" s="67"/>
      <c r="R90" s="67"/>
      <c r="S90" s="67"/>
      <c r="T90" s="67"/>
      <c r="U90" s="67"/>
      <c r="V90" s="4"/>
      <c r="W90" s="4"/>
      <c r="X90" s="4"/>
      <c r="Y90" s="5"/>
      <c r="Z90" s="5"/>
      <c r="AA90" s="80"/>
      <c r="AB90" s="80"/>
      <c r="AC90" s="80"/>
      <c r="AD90" s="80"/>
      <c r="AE90" s="80"/>
      <c r="AF90" s="80"/>
      <c r="AG90" s="80"/>
      <c r="AH90" s="80"/>
      <c r="AI90" s="6"/>
      <c r="AJ90" s="6"/>
      <c r="AK90" s="83"/>
      <c r="AL90" s="6"/>
      <c r="AM90" s="6"/>
      <c r="AN90" s="6"/>
      <c r="AO90" s="6"/>
      <c r="AP90" s="86"/>
      <c r="AQ90" s="86"/>
      <c r="AR90" s="86"/>
      <c r="AS90" s="86"/>
      <c r="AT90" s="86"/>
      <c r="AU90" s="86"/>
      <c r="AV90" s="86"/>
      <c r="AW90" s="86"/>
      <c r="AX90" s="86"/>
      <c r="AY90" s="86"/>
    </row>
    <row r="91" spans="7:51" s="8" customFormat="1" ht="12.75" x14ac:dyDescent="0.2">
      <c r="G91" s="1"/>
      <c r="H91" s="2"/>
      <c r="I91" s="1"/>
      <c r="J91" s="66"/>
      <c r="K91" s="67"/>
      <c r="L91" s="72"/>
      <c r="M91" s="67"/>
      <c r="N91" s="67"/>
      <c r="O91" s="67"/>
      <c r="P91" s="67"/>
      <c r="Q91" s="67"/>
      <c r="R91" s="67"/>
      <c r="S91" s="67"/>
      <c r="T91" s="67"/>
      <c r="U91" s="67"/>
      <c r="V91" s="4"/>
      <c r="W91" s="4"/>
      <c r="X91" s="4"/>
      <c r="Y91" s="5"/>
      <c r="Z91" s="5"/>
      <c r="AA91" s="80"/>
      <c r="AB91" s="80"/>
      <c r="AC91" s="80"/>
      <c r="AD91" s="80"/>
      <c r="AE91" s="80"/>
      <c r="AF91" s="80"/>
      <c r="AG91" s="80"/>
      <c r="AH91" s="80"/>
      <c r="AI91" s="6"/>
      <c r="AJ91" s="6"/>
      <c r="AK91" s="83"/>
      <c r="AL91" s="6"/>
      <c r="AM91" s="6"/>
      <c r="AN91" s="6"/>
      <c r="AO91" s="6"/>
      <c r="AP91" s="86"/>
      <c r="AQ91" s="86"/>
      <c r="AR91" s="86"/>
      <c r="AS91" s="86"/>
      <c r="AT91" s="86"/>
      <c r="AU91" s="86"/>
      <c r="AV91" s="86"/>
      <c r="AW91" s="86"/>
      <c r="AX91" s="86"/>
      <c r="AY91" s="86"/>
    </row>
    <row r="92" spans="7:51" s="8" customFormat="1" ht="12.75" x14ac:dyDescent="0.2">
      <c r="G92" s="1"/>
      <c r="H92" s="2"/>
      <c r="I92" s="1"/>
      <c r="J92" s="66"/>
      <c r="K92" s="67"/>
      <c r="L92" s="72"/>
      <c r="M92" s="67"/>
      <c r="N92" s="67"/>
      <c r="O92" s="67"/>
      <c r="P92" s="67"/>
      <c r="Q92" s="67"/>
      <c r="R92" s="67"/>
      <c r="S92" s="67"/>
      <c r="T92" s="67"/>
      <c r="U92" s="67"/>
      <c r="V92" s="4"/>
      <c r="W92" s="4"/>
      <c r="X92" s="4"/>
      <c r="Y92" s="5"/>
      <c r="Z92" s="5"/>
      <c r="AA92" s="80"/>
      <c r="AB92" s="80"/>
      <c r="AC92" s="80"/>
      <c r="AD92" s="80"/>
      <c r="AE92" s="80"/>
      <c r="AF92" s="80"/>
      <c r="AG92" s="80"/>
      <c r="AH92" s="80"/>
      <c r="AI92" s="6"/>
      <c r="AJ92" s="6"/>
      <c r="AK92" s="83"/>
      <c r="AL92" s="6"/>
      <c r="AM92" s="6"/>
      <c r="AN92" s="6"/>
      <c r="AO92" s="6"/>
      <c r="AP92" s="86"/>
      <c r="AQ92" s="86"/>
      <c r="AR92" s="86"/>
      <c r="AS92" s="86"/>
      <c r="AT92" s="86"/>
      <c r="AU92" s="86"/>
      <c r="AV92" s="86"/>
      <c r="AW92" s="86"/>
      <c r="AX92" s="86"/>
      <c r="AY92" s="86"/>
    </row>
    <row r="93" spans="7:51" s="8" customFormat="1" ht="12.75" x14ac:dyDescent="0.2">
      <c r="G93" s="1"/>
      <c r="H93" s="2"/>
      <c r="I93" s="1"/>
      <c r="J93" s="66"/>
      <c r="K93" s="67"/>
      <c r="L93" s="72"/>
      <c r="M93" s="67"/>
      <c r="N93" s="67"/>
      <c r="O93" s="67"/>
      <c r="P93" s="67"/>
      <c r="Q93" s="67"/>
      <c r="R93" s="67"/>
      <c r="S93" s="67"/>
      <c r="T93" s="67"/>
      <c r="U93" s="67"/>
      <c r="V93" s="4"/>
      <c r="W93" s="4"/>
      <c r="X93" s="4"/>
      <c r="Y93" s="5"/>
      <c r="Z93" s="5"/>
      <c r="AA93" s="80"/>
      <c r="AB93" s="80"/>
      <c r="AC93" s="80"/>
      <c r="AD93" s="80"/>
      <c r="AE93" s="80"/>
      <c r="AF93" s="80"/>
      <c r="AG93" s="80"/>
      <c r="AH93" s="80"/>
      <c r="AI93" s="6"/>
      <c r="AJ93" s="6"/>
      <c r="AK93" s="83"/>
      <c r="AL93" s="6"/>
      <c r="AM93" s="6"/>
      <c r="AN93" s="6"/>
      <c r="AO93" s="6"/>
      <c r="AP93" s="86"/>
      <c r="AQ93" s="86"/>
      <c r="AR93" s="86"/>
      <c r="AS93" s="86"/>
      <c r="AT93" s="86"/>
      <c r="AU93" s="86"/>
      <c r="AV93" s="86"/>
      <c r="AW93" s="86"/>
      <c r="AX93" s="86"/>
      <c r="AY93" s="86"/>
    </row>
    <row r="94" spans="7:51" s="8" customFormat="1" ht="12.75" x14ac:dyDescent="0.2">
      <c r="G94" s="1"/>
      <c r="H94" s="2"/>
      <c r="I94" s="1"/>
      <c r="J94" s="66"/>
      <c r="K94" s="67"/>
      <c r="L94" s="72"/>
      <c r="M94" s="67"/>
      <c r="N94" s="67"/>
      <c r="O94" s="67"/>
      <c r="P94" s="67"/>
      <c r="Q94" s="67"/>
      <c r="R94" s="67"/>
      <c r="S94" s="67"/>
      <c r="T94" s="67"/>
      <c r="U94" s="67"/>
      <c r="V94" s="4"/>
      <c r="W94" s="4"/>
      <c r="X94" s="4"/>
      <c r="Y94" s="5"/>
      <c r="Z94" s="5"/>
      <c r="AA94" s="80"/>
      <c r="AB94" s="80"/>
      <c r="AC94" s="80"/>
      <c r="AD94" s="80"/>
      <c r="AE94" s="80"/>
      <c r="AF94" s="80"/>
      <c r="AG94" s="80"/>
      <c r="AH94" s="80"/>
      <c r="AI94" s="6"/>
      <c r="AJ94" s="6"/>
      <c r="AK94" s="83"/>
      <c r="AL94" s="6"/>
      <c r="AM94" s="6"/>
      <c r="AN94" s="6"/>
      <c r="AO94" s="6"/>
      <c r="AP94" s="86"/>
      <c r="AQ94" s="86"/>
      <c r="AR94" s="86"/>
      <c r="AS94" s="86"/>
      <c r="AT94" s="86"/>
      <c r="AU94" s="86"/>
      <c r="AV94" s="86"/>
      <c r="AW94" s="86"/>
      <c r="AX94" s="86"/>
      <c r="AY94" s="86"/>
    </row>
    <row r="95" spans="7:51" s="8" customFormat="1" ht="12.75" x14ac:dyDescent="0.2">
      <c r="G95" s="1"/>
      <c r="H95" s="2"/>
      <c r="I95" s="1"/>
      <c r="J95" s="66"/>
      <c r="K95" s="67"/>
      <c r="L95" s="72"/>
      <c r="M95" s="67"/>
      <c r="N95" s="67"/>
      <c r="O95" s="67"/>
      <c r="P95" s="67"/>
      <c r="Q95" s="67"/>
      <c r="R95" s="67"/>
      <c r="S95" s="67"/>
      <c r="T95" s="67"/>
      <c r="U95" s="67"/>
      <c r="V95" s="4"/>
      <c r="W95" s="4"/>
      <c r="X95" s="4"/>
      <c r="Y95" s="5"/>
      <c r="Z95" s="5"/>
      <c r="AA95" s="80"/>
      <c r="AB95" s="80"/>
      <c r="AC95" s="80"/>
      <c r="AD95" s="80"/>
      <c r="AE95" s="80"/>
      <c r="AF95" s="80"/>
      <c r="AG95" s="80"/>
      <c r="AH95" s="80"/>
      <c r="AI95" s="6"/>
      <c r="AJ95" s="6"/>
      <c r="AK95" s="83"/>
      <c r="AL95" s="6"/>
      <c r="AM95" s="6"/>
      <c r="AN95" s="6"/>
      <c r="AO95" s="6"/>
      <c r="AP95" s="86"/>
      <c r="AQ95" s="86"/>
      <c r="AR95" s="86"/>
      <c r="AS95" s="86"/>
      <c r="AT95" s="86"/>
      <c r="AU95" s="86"/>
      <c r="AV95" s="86"/>
      <c r="AW95" s="86"/>
      <c r="AX95" s="86"/>
      <c r="AY95" s="86"/>
    </row>
    <row r="96" spans="7:51" s="8" customFormat="1" ht="12.75" x14ac:dyDescent="0.2">
      <c r="G96" s="1"/>
      <c r="H96" s="2"/>
      <c r="I96" s="1"/>
      <c r="J96" s="66"/>
      <c r="K96" s="67"/>
      <c r="L96" s="72"/>
      <c r="M96" s="67"/>
      <c r="N96" s="67"/>
      <c r="O96" s="67"/>
      <c r="P96" s="67"/>
      <c r="Q96" s="67"/>
      <c r="R96" s="67"/>
      <c r="S96" s="67"/>
      <c r="T96" s="67"/>
      <c r="U96" s="67"/>
      <c r="V96" s="4"/>
      <c r="W96" s="4"/>
      <c r="X96" s="4"/>
      <c r="Y96" s="5"/>
      <c r="Z96" s="5"/>
      <c r="AA96" s="80"/>
      <c r="AB96" s="80"/>
      <c r="AC96" s="80"/>
      <c r="AD96" s="80"/>
      <c r="AE96" s="80"/>
      <c r="AF96" s="80"/>
      <c r="AG96" s="80"/>
      <c r="AH96" s="80"/>
      <c r="AI96" s="6"/>
      <c r="AJ96" s="6"/>
      <c r="AK96" s="83"/>
      <c r="AL96" s="6"/>
      <c r="AM96" s="6"/>
      <c r="AN96" s="6"/>
      <c r="AO96" s="6"/>
      <c r="AP96" s="86"/>
      <c r="AQ96" s="86"/>
      <c r="AR96" s="86"/>
      <c r="AS96" s="86"/>
      <c r="AT96" s="86"/>
      <c r="AU96" s="86"/>
      <c r="AV96" s="86"/>
      <c r="AW96" s="86"/>
      <c r="AX96" s="86"/>
      <c r="AY96" s="86"/>
    </row>
    <row r="97" spans="7:51" s="8" customFormat="1" ht="12.75" x14ac:dyDescent="0.2">
      <c r="G97" s="1"/>
      <c r="H97" s="2"/>
      <c r="I97" s="1"/>
      <c r="J97" s="66"/>
      <c r="K97" s="67"/>
      <c r="L97" s="72"/>
      <c r="M97" s="67"/>
      <c r="N97" s="67"/>
      <c r="O97" s="67"/>
      <c r="P97" s="67"/>
      <c r="Q97" s="67"/>
      <c r="R97" s="67"/>
      <c r="S97" s="67"/>
      <c r="T97" s="67"/>
      <c r="U97" s="67"/>
      <c r="V97" s="4"/>
      <c r="W97" s="4"/>
      <c r="X97" s="4"/>
      <c r="Y97" s="5"/>
      <c r="Z97" s="5"/>
      <c r="AA97" s="80"/>
      <c r="AB97" s="80"/>
      <c r="AC97" s="80"/>
      <c r="AD97" s="80"/>
      <c r="AE97" s="80"/>
      <c r="AF97" s="80"/>
      <c r="AG97" s="80"/>
      <c r="AH97" s="80"/>
      <c r="AI97" s="6"/>
      <c r="AJ97" s="6"/>
      <c r="AK97" s="83"/>
      <c r="AL97" s="6"/>
      <c r="AM97" s="6"/>
      <c r="AN97" s="6"/>
      <c r="AO97" s="6"/>
      <c r="AP97" s="86"/>
      <c r="AQ97" s="86"/>
      <c r="AR97" s="86"/>
      <c r="AS97" s="86"/>
      <c r="AT97" s="86"/>
      <c r="AU97" s="86"/>
      <c r="AV97" s="86"/>
      <c r="AW97" s="86"/>
      <c r="AX97" s="86"/>
      <c r="AY97" s="86"/>
    </row>
    <row r="98" spans="7:51" s="8" customFormat="1" ht="12.75" x14ac:dyDescent="0.2">
      <c r="G98" s="1"/>
      <c r="H98" s="2"/>
      <c r="I98" s="1"/>
      <c r="J98" s="66"/>
      <c r="K98" s="67"/>
      <c r="L98" s="72"/>
      <c r="M98" s="67"/>
      <c r="N98" s="67"/>
      <c r="O98" s="67"/>
      <c r="P98" s="67"/>
      <c r="Q98" s="67"/>
      <c r="R98" s="67"/>
      <c r="S98" s="67"/>
      <c r="T98" s="67"/>
      <c r="U98" s="67"/>
      <c r="V98" s="4"/>
      <c r="W98" s="4"/>
      <c r="X98" s="4"/>
      <c r="Y98" s="5"/>
      <c r="Z98" s="5"/>
      <c r="AA98" s="80"/>
      <c r="AB98" s="80"/>
      <c r="AC98" s="80"/>
      <c r="AD98" s="80"/>
      <c r="AE98" s="80"/>
      <c r="AF98" s="80"/>
      <c r="AG98" s="80"/>
      <c r="AH98" s="80"/>
      <c r="AI98" s="6"/>
      <c r="AJ98" s="6"/>
      <c r="AK98" s="83"/>
      <c r="AL98" s="6"/>
      <c r="AM98" s="6"/>
      <c r="AN98" s="6"/>
      <c r="AO98" s="6"/>
      <c r="AP98" s="86"/>
      <c r="AQ98" s="86"/>
      <c r="AR98" s="86"/>
      <c r="AS98" s="86"/>
      <c r="AT98" s="86"/>
      <c r="AU98" s="86"/>
      <c r="AV98" s="86"/>
      <c r="AW98" s="86"/>
      <c r="AX98" s="86"/>
      <c r="AY98" s="86"/>
    </row>
    <row r="99" spans="7:51" s="8" customFormat="1" ht="12.75" x14ac:dyDescent="0.2">
      <c r="G99" s="1"/>
      <c r="H99" s="2"/>
      <c r="I99" s="1"/>
      <c r="J99" s="66"/>
      <c r="K99" s="67"/>
      <c r="L99" s="72"/>
      <c r="M99" s="67"/>
      <c r="N99" s="67"/>
      <c r="O99" s="67"/>
      <c r="P99" s="67"/>
      <c r="Q99" s="67"/>
      <c r="R99" s="67"/>
      <c r="S99" s="67"/>
      <c r="T99" s="67"/>
      <c r="U99" s="67"/>
      <c r="V99" s="4"/>
      <c r="W99" s="4"/>
      <c r="X99" s="4"/>
      <c r="Y99" s="5"/>
      <c r="Z99" s="5"/>
      <c r="AA99" s="80"/>
      <c r="AB99" s="80"/>
      <c r="AC99" s="80"/>
      <c r="AD99" s="80"/>
      <c r="AE99" s="80"/>
      <c r="AF99" s="80"/>
      <c r="AG99" s="80"/>
      <c r="AH99" s="80"/>
      <c r="AI99" s="6"/>
      <c r="AJ99" s="6"/>
      <c r="AK99" s="83"/>
      <c r="AL99" s="6"/>
      <c r="AM99" s="6"/>
      <c r="AN99" s="6"/>
      <c r="AO99" s="6"/>
      <c r="AP99" s="86"/>
      <c r="AQ99" s="86"/>
      <c r="AR99" s="86"/>
      <c r="AS99" s="86"/>
      <c r="AT99" s="86"/>
      <c r="AU99" s="86"/>
      <c r="AV99" s="86"/>
      <c r="AW99" s="86"/>
      <c r="AX99" s="86"/>
      <c r="AY99" s="86"/>
    </row>
    <row r="100" spans="7:51" s="8" customFormat="1" ht="12.75" x14ac:dyDescent="0.2">
      <c r="G100" s="1"/>
      <c r="H100" s="2"/>
      <c r="I100" s="1"/>
      <c r="J100" s="66"/>
      <c r="K100" s="67"/>
      <c r="L100" s="72"/>
      <c r="M100" s="67"/>
      <c r="N100" s="67"/>
      <c r="O100" s="67"/>
      <c r="P100" s="67"/>
      <c r="Q100" s="67"/>
      <c r="R100" s="67"/>
      <c r="S100" s="67"/>
      <c r="T100" s="67"/>
      <c r="U100" s="67"/>
      <c r="V100" s="4"/>
      <c r="W100" s="4"/>
      <c r="X100" s="4"/>
      <c r="Y100" s="5"/>
      <c r="Z100" s="5"/>
      <c r="AA100" s="80"/>
      <c r="AB100" s="80"/>
      <c r="AC100" s="80"/>
      <c r="AD100" s="80"/>
      <c r="AE100" s="80"/>
      <c r="AF100" s="80"/>
      <c r="AG100" s="80"/>
      <c r="AH100" s="80"/>
      <c r="AI100" s="6"/>
      <c r="AJ100" s="6"/>
      <c r="AK100" s="83"/>
      <c r="AL100" s="6"/>
      <c r="AM100" s="6"/>
      <c r="AN100" s="6"/>
      <c r="AO100" s="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</row>
    <row r="101" spans="7:51" s="8" customFormat="1" ht="12.75" x14ac:dyDescent="0.2">
      <c r="G101" s="1"/>
      <c r="H101" s="2"/>
      <c r="I101" s="1"/>
      <c r="J101" s="66"/>
      <c r="K101" s="67"/>
      <c r="L101" s="72"/>
      <c r="M101" s="67"/>
      <c r="N101" s="67"/>
      <c r="O101" s="67"/>
      <c r="P101" s="67"/>
      <c r="Q101" s="67"/>
      <c r="R101" s="67"/>
      <c r="S101" s="67"/>
      <c r="T101" s="67"/>
      <c r="U101" s="67"/>
      <c r="V101" s="4"/>
      <c r="W101" s="4"/>
      <c r="X101" s="4"/>
      <c r="Y101" s="5"/>
      <c r="Z101" s="5"/>
      <c r="AA101" s="80"/>
      <c r="AB101" s="80"/>
      <c r="AC101" s="80"/>
      <c r="AD101" s="80"/>
      <c r="AE101" s="80"/>
      <c r="AF101" s="80"/>
      <c r="AG101" s="80"/>
      <c r="AH101" s="80"/>
      <c r="AI101" s="6"/>
      <c r="AJ101" s="6"/>
      <c r="AK101" s="83"/>
      <c r="AL101" s="6"/>
      <c r="AM101" s="6"/>
      <c r="AN101" s="6"/>
      <c r="AO101" s="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</row>
    <row r="102" spans="7:51" s="8" customFormat="1" ht="12.75" x14ac:dyDescent="0.2">
      <c r="G102" s="1"/>
      <c r="H102" s="2"/>
      <c r="I102" s="1"/>
      <c r="J102" s="66"/>
      <c r="K102" s="67"/>
      <c r="L102" s="72"/>
      <c r="M102" s="67"/>
      <c r="N102" s="67"/>
      <c r="O102" s="67"/>
      <c r="P102" s="67"/>
      <c r="Q102" s="67"/>
      <c r="R102" s="67"/>
      <c r="S102" s="67"/>
      <c r="T102" s="67"/>
      <c r="U102" s="67"/>
      <c r="V102" s="4"/>
      <c r="W102" s="4"/>
      <c r="X102" s="4"/>
      <c r="Y102" s="5"/>
      <c r="Z102" s="5"/>
      <c r="AA102" s="80"/>
      <c r="AB102" s="80"/>
      <c r="AC102" s="80"/>
      <c r="AD102" s="80"/>
      <c r="AE102" s="80"/>
      <c r="AF102" s="80"/>
      <c r="AG102" s="80"/>
      <c r="AH102" s="80"/>
      <c r="AI102" s="6"/>
      <c r="AJ102" s="6"/>
      <c r="AK102" s="83"/>
      <c r="AL102" s="6"/>
      <c r="AM102" s="6"/>
      <c r="AN102" s="6"/>
      <c r="AO102" s="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</row>
    <row r="103" spans="7:51" s="8" customFormat="1" ht="12.75" x14ac:dyDescent="0.2">
      <c r="G103" s="1"/>
      <c r="H103" s="2"/>
      <c r="I103" s="1"/>
      <c r="J103" s="66"/>
      <c r="K103" s="67"/>
      <c r="L103" s="72"/>
      <c r="M103" s="67"/>
      <c r="N103" s="67"/>
      <c r="O103" s="67"/>
      <c r="P103" s="67"/>
      <c r="Q103" s="67"/>
      <c r="R103" s="67"/>
      <c r="S103" s="67"/>
      <c r="T103" s="67"/>
      <c r="U103" s="67"/>
      <c r="V103" s="4"/>
      <c r="W103" s="4"/>
      <c r="X103" s="4"/>
      <c r="Y103" s="5"/>
      <c r="Z103" s="5"/>
      <c r="AA103" s="80"/>
      <c r="AB103" s="80"/>
      <c r="AC103" s="80"/>
      <c r="AD103" s="80"/>
      <c r="AE103" s="80"/>
      <c r="AF103" s="80"/>
      <c r="AG103" s="80"/>
      <c r="AH103" s="80"/>
      <c r="AI103" s="6"/>
      <c r="AJ103" s="6"/>
      <c r="AK103" s="83"/>
      <c r="AL103" s="6"/>
      <c r="AM103" s="6"/>
      <c r="AN103" s="6"/>
      <c r="AO103" s="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</row>
    <row r="104" spans="7:51" s="8" customFormat="1" ht="12.75" x14ac:dyDescent="0.2">
      <c r="G104" s="1"/>
      <c r="H104" s="2"/>
      <c r="I104" s="1"/>
      <c r="J104" s="66"/>
      <c r="K104" s="67"/>
      <c r="L104" s="72"/>
      <c r="M104" s="67"/>
      <c r="N104" s="67"/>
      <c r="O104" s="67"/>
      <c r="P104" s="67"/>
      <c r="Q104" s="67"/>
      <c r="R104" s="67"/>
      <c r="S104" s="67"/>
      <c r="T104" s="67"/>
      <c r="U104" s="67"/>
      <c r="V104" s="4"/>
      <c r="W104" s="4"/>
      <c r="X104" s="4"/>
      <c r="Y104" s="5"/>
      <c r="Z104" s="5"/>
      <c r="AA104" s="80"/>
      <c r="AB104" s="80"/>
      <c r="AC104" s="80"/>
      <c r="AD104" s="80"/>
      <c r="AE104" s="80"/>
      <c r="AF104" s="80"/>
      <c r="AG104" s="80"/>
      <c r="AH104" s="80"/>
      <c r="AI104" s="6"/>
      <c r="AJ104" s="6"/>
      <c r="AK104" s="83"/>
      <c r="AL104" s="6"/>
      <c r="AM104" s="6"/>
      <c r="AN104" s="6"/>
      <c r="AO104" s="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</row>
    <row r="105" spans="7:51" s="8" customFormat="1" ht="12.75" x14ac:dyDescent="0.2">
      <c r="G105" s="1"/>
      <c r="H105" s="2"/>
      <c r="I105" s="1"/>
      <c r="J105" s="66"/>
      <c r="K105" s="67"/>
      <c r="L105" s="72"/>
      <c r="M105" s="67"/>
      <c r="N105" s="67"/>
      <c r="O105" s="67"/>
      <c r="P105" s="67"/>
      <c r="Q105" s="67"/>
      <c r="R105" s="67"/>
      <c r="S105" s="67"/>
      <c r="T105" s="67"/>
      <c r="U105" s="67"/>
      <c r="V105" s="4"/>
      <c r="W105" s="4"/>
      <c r="X105" s="4"/>
      <c r="Y105" s="5"/>
      <c r="Z105" s="5"/>
      <c r="AA105" s="80"/>
      <c r="AB105" s="80"/>
      <c r="AC105" s="80"/>
      <c r="AD105" s="80"/>
      <c r="AE105" s="80"/>
      <c r="AF105" s="80"/>
      <c r="AG105" s="80"/>
      <c r="AH105" s="80"/>
      <c r="AI105" s="6"/>
      <c r="AJ105" s="6"/>
      <c r="AK105" s="83"/>
      <c r="AL105" s="6"/>
      <c r="AM105" s="6"/>
      <c r="AN105" s="6"/>
      <c r="AO105" s="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</row>
    <row r="106" spans="7:51" s="8" customFormat="1" ht="12.75" x14ac:dyDescent="0.2">
      <c r="G106" s="1"/>
      <c r="H106" s="2"/>
      <c r="I106" s="1"/>
      <c r="J106" s="66"/>
      <c r="K106" s="67"/>
      <c r="L106" s="72"/>
      <c r="M106" s="67"/>
      <c r="N106" s="67"/>
      <c r="O106" s="67"/>
      <c r="P106" s="67"/>
      <c r="Q106" s="67"/>
      <c r="R106" s="67"/>
      <c r="S106" s="67"/>
      <c r="T106" s="67"/>
      <c r="U106" s="67"/>
      <c r="V106" s="4"/>
      <c r="W106" s="4"/>
      <c r="X106" s="4"/>
      <c r="Y106" s="5"/>
      <c r="Z106" s="5"/>
      <c r="AA106" s="80"/>
      <c r="AB106" s="80"/>
      <c r="AC106" s="80"/>
      <c r="AD106" s="80"/>
      <c r="AE106" s="80"/>
      <c r="AF106" s="80"/>
      <c r="AG106" s="80"/>
      <c r="AH106" s="80"/>
      <c r="AI106" s="6"/>
      <c r="AJ106" s="6"/>
      <c r="AK106" s="83"/>
      <c r="AL106" s="6"/>
      <c r="AM106" s="6"/>
      <c r="AN106" s="6"/>
      <c r="AO106" s="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</row>
    <row r="107" spans="7:51" s="8" customFormat="1" ht="12.75" x14ac:dyDescent="0.2">
      <c r="G107" s="1"/>
      <c r="H107" s="2"/>
      <c r="I107" s="1"/>
      <c r="J107" s="66"/>
      <c r="K107" s="67"/>
      <c r="L107" s="72"/>
      <c r="M107" s="67"/>
      <c r="N107" s="67"/>
      <c r="O107" s="67"/>
      <c r="P107" s="67"/>
      <c r="Q107" s="67"/>
      <c r="R107" s="67"/>
      <c r="S107" s="67"/>
      <c r="T107" s="67"/>
      <c r="U107" s="67"/>
      <c r="V107" s="4"/>
      <c r="W107" s="4"/>
      <c r="X107" s="4"/>
      <c r="Y107" s="5"/>
      <c r="Z107" s="5"/>
      <c r="AA107" s="80"/>
      <c r="AB107" s="80"/>
      <c r="AC107" s="80"/>
      <c r="AD107" s="80"/>
      <c r="AE107" s="80"/>
      <c r="AF107" s="80"/>
      <c r="AG107" s="80"/>
      <c r="AH107" s="80"/>
      <c r="AI107" s="6"/>
      <c r="AJ107" s="6"/>
      <c r="AK107" s="83"/>
      <c r="AL107" s="6"/>
      <c r="AM107" s="6"/>
      <c r="AN107" s="6"/>
      <c r="AO107" s="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</row>
    <row r="108" spans="7:51" s="8" customFormat="1" ht="12.75" x14ac:dyDescent="0.2">
      <c r="G108" s="1"/>
      <c r="H108" s="2"/>
      <c r="I108" s="1"/>
      <c r="J108" s="66"/>
      <c r="K108" s="67"/>
      <c r="L108" s="72"/>
      <c r="M108" s="67"/>
      <c r="N108" s="67"/>
      <c r="O108" s="67"/>
      <c r="P108" s="67"/>
      <c r="Q108" s="67"/>
      <c r="R108" s="67"/>
      <c r="S108" s="67"/>
      <c r="T108" s="67"/>
      <c r="U108" s="67"/>
      <c r="V108" s="4"/>
      <c r="W108" s="4"/>
      <c r="X108" s="4"/>
      <c r="Y108" s="5"/>
      <c r="Z108" s="5"/>
      <c r="AA108" s="80"/>
      <c r="AB108" s="80"/>
      <c r="AC108" s="80"/>
      <c r="AD108" s="80"/>
      <c r="AE108" s="80"/>
      <c r="AF108" s="80"/>
      <c r="AG108" s="80"/>
      <c r="AH108" s="80"/>
      <c r="AI108" s="6"/>
      <c r="AJ108" s="6"/>
      <c r="AK108" s="83"/>
      <c r="AL108" s="6"/>
      <c r="AM108" s="6"/>
      <c r="AN108" s="6"/>
      <c r="AO108" s="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</row>
    <row r="109" spans="7:51" s="8" customFormat="1" ht="12.75" x14ac:dyDescent="0.2">
      <c r="G109" s="1"/>
      <c r="H109" s="2"/>
      <c r="I109" s="1"/>
      <c r="J109" s="66"/>
      <c r="K109" s="67"/>
      <c r="L109" s="72"/>
      <c r="M109" s="67"/>
      <c r="N109" s="67"/>
      <c r="O109" s="67"/>
      <c r="P109" s="67"/>
      <c r="Q109" s="67"/>
      <c r="R109" s="67"/>
      <c r="S109" s="67"/>
      <c r="T109" s="67"/>
      <c r="U109" s="67"/>
      <c r="V109" s="4"/>
      <c r="W109" s="4"/>
      <c r="X109" s="4"/>
      <c r="Y109" s="5"/>
      <c r="Z109" s="5"/>
      <c r="AA109" s="80"/>
      <c r="AB109" s="80"/>
      <c r="AC109" s="80"/>
      <c r="AD109" s="80"/>
      <c r="AE109" s="80"/>
      <c r="AF109" s="80"/>
      <c r="AG109" s="80"/>
      <c r="AH109" s="80"/>
      <c r="AI109" s="6"/>
      <c r="AJ109" s="6"/>
      <c r="AK109" s="83"/>
      <c r="AL109" s="6"/>
      <c r="AM109" s="6"/>
      <c r="AN109" s="6"/>
      <c r="AO109" s="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</row>
    <row r="110" spans="7:51" s="8" customFormat="1" ht="12.75" x14ac:dyDescent="0.2">
      <c r="G110" s="1"/>
      <c r="H110" s="2"/>
      <c r="I110" s="1"/>
      <c r="J110" s="66"/>
      <c r="K110" s="67"/>
      <c r="L110" s="72"/>
      <c r="M110" s="67"/>
      <c r="N110" s="67"/>
      <c r="O110" s="67"/>
      <c r="P110" s="67"/>
      <c r="Q110" s="67"/>
      <c r="R110" s="67"/>
      <c r="S110" s="67"/>
      <c r="T110" s="67"/>
      <c r="U110" s="67"/>
      <c r="V110" s="4"/>
      <c r="W110" s="4"/>
      <c r="X110" s="4"/>
      <c r="Y110" s="5"/>
      <c r="Z110" s="5"/>
      <c r="AA110" s="80"/>
      <c r="AB110" s="80"/>
      <c r="AC110" s="80"/>
      <c r="AD110" s="80"/>
      <c r="AE110" s="80"/>
      <c r="AF110" s="80"/>
      <c r="AG110" s="80"/>
      <c r="AH110" s="80"/>
      <c r="AI110" s="6"/>
      <c r="AJ110" s="6"/>
      <c r="AK110" s="83"/>
      <c r="AL110" s="6"/>
      <c r="AM110" s="6"/>
      <c r="AN110" s="6"/>
      <c r="AO110" s="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</row>
    <row r="111" spans="7:51" s="8" customFormat="1" ht="12.75" x14ac:dyDescent="0.2">
      <c r="G111" s="1"/>
      <c r="H111" s="2"/>
      <c r="I111" s="1"/>
      <c r="J111" s="66"/>
      <c r="K111" s="67"/>
      <c r="L111" s="72"/>
      <c r="M111" s="67"/>
      <c r="N111" s="67"/>
      <c r="O111" s="67"/>
      <c r="P111" s="67"/>
      <c r="Q111" s="67"/>
      <c r="R111" s="67"/>
      <c r="S111" s="67"/>
      <c r="T111" s="67"/>
      <c r="U111" s="67"/>
      <c r="V111" s="4"/>
      <c r="W111" s="4"/>
      <c r="X111" s="4"/>
      <c r="Y111" s="5"/>
      <c r="Z111" s="5"/>
      <c r="AA111" s="80"/>
      <c r="AB111" s="80"/>
      <c r="AC111" s="80"/>
      <c r="AD111" s="80"/>
      <c r="AE111" s="80"/>
      <c r="AF111" s="80"/>
      <c r="AG111" s="80"/>
      <c r="AH111" s="80"/>
      <c r="AI111" s="6"/>
      <c r="AJ111" s="6"/>
      <c r="AK111" s="83"/>
      <c r="AL111" s="6"/>
      <c r="AM111" s="6"/>
      <c r="AN111" s="6"/>
      <c r="AO111" s="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</row>
    <row r="112" spans="7:51" s="8" customFormat="1" ht="12.75" x14ac:dyDescent="0.2">
      <c r="G112" s="1"/>
      <c r="H112" s="2"/>
      <c r="I112" s="1"/>
      <c r="J112" s="66"/>
      <c r="K112" s="67"/>
      <c r="L112" s="72"/>
      <c r="M112" s="67"/>
      <c r="N112" s="67"/>
      <c r="O112" s="67"/>
      <c r="P112" s="67"/>
      <c r="Q112" s="67"/>
      <c r="R112" s="67"/>
      <c r="S112" s="67"/>
      <c r="T112" s="67"/>
      <c r="U112" s="67"/>
      <c r="V112" s="4"/>
      <c r="W112" s="4"/>
      <c r="X112" s="4"/>
      <c r="Y112" s="5"/>
      <c r="Z112" s="5"/>
      <c r="AA112" s="80"/>
      <c r="AB112" s="80"/>
      <c r="AC112" s="80"/>
      <c r="AD112" s="80"/>
      <c r="AE112" s="80"/>
      <c r="AF112" s="80"/>
      <c r="AG112" s="80"/>
      <c r="AH112" s="80"/>
      <c r="AI112" s="6"/>
      <c r="AJ112" s="6"/>
      <c r="AK112" s="83"/>
      <c r="AL112" s="6"/>
      <c r="AM112" s="6"/>
      <c r="AN112" s="6"/>
      <c r="AO112" s="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</row>
    <row r="113" spans="7:51" s="8" customFormat="1" ht="12.75" x14ac:dyDescent="0.2">
      <c r="G113" s="1"/>
      <c r="H113" s="2"/>
      <c r="I113" s="1"/>
      <c r="J113" s="66"/>
      <c r="K113" s="67"/>
      <c r="L113" s="72"/>
      <c r="M113" s="67"/>
      <c r="N113" s="67"/>
      <c r="O113" s="67"/>
      <c r="P113" s="67"/>
      <c r="Q113" s="67"/>
      <c r="R113" s="67"/>
      <c r="S113" s="67"/>
      <c r="T113" s="67"/>
      <c r="U113" s="67"/>
      <c r="V113" s="4"/>
      <c r="W113" s="4"/>
      <c r="X113" s="4"/>
      <c r="Y113" s="5"/>
      <c r="Z113" s="5"/>
      <c r="AA113" s="80"/>
      <c r="AB113" s="80"/>
      <c r="AC113" s="80"/>
      <c r="AD113" s="80"/>
      <c r="AE113" s="80"/>
      <c r="AF113" s="80"/>
      <c r="AG113" s="80"/>
      <c r="AH113" s="80"/>
      <c r="AI113" s="6"/>
      <c r="AJ113" s="6"/>
      <c r="AK113" s="83"/>
      <c r="AL113" s="6"/>
      <c r="AM113" s="6"/>
      <c r="AN113" s="6"/>
      <c r="AO113" s="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</row>
    <row r="114" spans="7:51" s="8" customFormat="1" ht="12.75" x14ac:dyDescent="0.2">
      <c r="G114" s="1"/>
      <c r="H114" s="2"/>
      <c r="I114" s="1"/>
      <c r="J114" s="66"/>
      <c r="K114" s="67"/>
      <c r="L114" s="72"/>
      <c r="M114" s="67"/>
      <c r="N114" s="67"/>
      <c r="O114" s="67"/>
      <c r="P114" s="67"/>
      <c r="Q114" s="67"/>
      <c r="R114" s="67"/>
      <c r="S114" s="67"/>
      <c r="T114" s="67"/>
      <c r="U114" s="67"/>
      <c r="V114" s="4"/>
      <c r="W114" s="4"/>
      <c r="X114" s="4"/>
      <c r="Y114" s="5"/>
      <c r="Z114" s="5"/>
      <c r="AA114" s="80"/>
      <c r="AB114" s="80"/>
      <c r="AC114" s="80"/>
      <c r="AD114" s="80"/>
      <c r="AE114" s="80"/>
      <c r="AF114" s="80"/>
      <c r="AG114" s="80"/>
      <c r="AH114" s="80"/>
      <c r="AI114" s="6"/>
      <c r="AJ114" s="6"/>
      <c r="AK114" s="83"/>
      <c r="AL114" s="6"/>
      <c r="AM114" s="6"/>
      <c r="AN114" s="6"/>
      <c r="AO114" s="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</row>
    <row r="115" spans="7:51" s="8" customFormat="1" ht="12.75" x14ac:dyDescent="0.2">
      <c r="G115" s="1"/>
      <c r="H115" s="2"/>
      <c r="I115" s="1"/>
      <c r="J115" s="66"/>
      <c r="K115" s="67"/>
      <c r="L115" s="72"/>
      <c r="M115" s="67"/>
      <c r="N115" s="67"/>
      <c r="O115" s="67"/>
      <c r="P115" s="67"/>
      <c r="Q115" s="67"/>
      <c r="R115" s="67"/>
      <c r="S115" s="67"/>
      <c r="T115" s="67"/>
      <c r="U115" s="67"/>
      <c r="V115" s="4"/>
      <c r="W115" s="4"/>
      <c r="X115" s="4"/>
      <c r="Y115" s="5"/>
      <c r="Z115" s="5"/>
      <c r="AA115" s="80"/>
      <c r="AB115" s="80"/>
      <c r="AC115" s="80"/>
      <c r="AD115" s="80"/>
      <c r="AE115" s="80"/>
      <c r="AF115" s="80"/>
      <c r="AG115" s="80"/>
      <c r="AH115" s="80"/>
      <c r="AI115" s="6"/>
      <c r="AJ115" s="6"/>
      <c r="AK115" s="83"/>
      <c r="AL115" s="6"/>
      <c r="AM115" s="6"/>
      <c r="AN115" s="6"/>
      <c r="AO115" s="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</row>
    <row r="116" spans="7:51" s="8" customFormat="1" ht="12.75" x14ac:dyDescent="0.2">
      <c r="G116" s="1"/>
      <c r="H116" s="2"/>
      <c r="I116" s="1"/>
      <c r="J116" s="66"/>
      <c r="K116" s="67"/>
      <c r="L116" s="72"/>
      <c r="M116" s="67"/>
      <c r="N116" s="67"/>
      <c r="O116" s="67"/>
      <c r="P116" s="67"/>
      <c r="Q116" s="67"/>
      <c r="R116" s="67"/>
      <c r="S116" s="67"/>
      <c r="T116" s="67"/>
      <c r="U116" s="67"/>
      <c r="V116" s="4"/>
      <c r="W116" s="4"/>
      <c r="X116" s="4"/>
      <c r="Y116" s="5"/>
      <c r="Z116" s="5"/>
      <c r="AA116" s="80"/>
      <c r="AB116" s="80"/>
      <c r="AC116" s="80"/>
      <c r="AD116" s="80"/>
      <c r="AE116" s="80"/>
      <c r="AF116" s="80"/>
      <c r="AG116" s="80"/>
      <c r="AH116" s="80"/>
      <c r="AI116" s="6"/>
      <c r="AJ116" s="6"/>
      <c r="AK116" s="83"/>
      <c r="AL116" s="6"/>
      <c r="AM116" s="6"/>
      <c r="AN116" s="6"/>
      <c r="AO116" s="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</row>
    <row r="117" spans="7:51" s="8" customFormat="1" ht="12.75" x14ac:dyDescent="0.2">
      <c r="G117" s="1"/>
      <c r="H117" s="2"/>
      <c r="I117" s="1"/>
      <c r="J117" s="66"/>
      <c r="K117" s="67"/>
      <c r="L117" s="72"/>
      <c r="M117" s="67"/>
      <c r="N117" s="67"/>
      <c r="O117" s="67"/>
      <c r="P117" s="67"/>
      <c r="Q117" s="67"/>
      <c r="R117" s="67"/>
      <c r="S117" s="67"/>
      <c r="T117" s="67"/>
      <c r="U117" s="67"/>
      <c r="V117" s="4"/>
      <c r="W117" s="4"/>
      <c r="X117" s="4"/>
      <c r="Y117" s="5"/>
      <c r="Z117" s="5"/>
      <c r="AA117" s="80"/>
      <c r="AB117" s="80"/>
      <c r="AC117" s="80"/>
      <c r="AD117" s="80"/>
      <c r="AE117" s="80"/>
      <c r="AF117" s="80"/>
      <c r="AG117" s="80"/>
      <c r="AH117" s="80"/>
      <c r="AI117" s="6"/>
      <c r="AJ117" s="6"/>
      <c r="AK117" s="83"/>
      <c r="AL117" s="6"/>
      <c r="AM117" s="6"/>
      <c r="AN117" s="6"/>
      <c r="AO117" s="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</row>
    <row r="118" spans="7:51" s="8" customFormat="1" ht="12.75" x14ac:dyDescent="0.2">
      <c r="G118" s="1"/>
      <c r="H118" s="2"/>
      <c r="I118" s="1"/>
      <c r="J118" s="66"/>
      <c r="K118" s="67"/>
      <c r="L118" s="72"/>
      <c r="M118" s="67"/>
      <c r="N118" s="67"/>
      <c r="O118" s="67"/>
      <c r="P118" s="67"/>
      <c r="Q118" s="67"/>
      <c r="R118" s="67"/>
      <c r="S118" s="67"/>
      <c r="T118" s="67"/>
      <c r="U118" s="67"/>
      <c r="V118" s="4"/>
      <c r="W118" s="4"/>
      <c r="X118" s="4"/>
      <c r="Y118" s="5"/>
      <c r="Z118" s="5"/>
      <c r="AA118" s="80"/>
      <c r="AB118" s="80"/>
      <c r="AC118" s="80"/>
      <c r="AD118" s="80"/>
      <c r="AE118" s="80"/>
      <c r="AF118" s="80"/>
      <c r="AG118" s="80"/>
      <c r="AH118" s="80"/>
      <c r="AI118" s="6"/>
      <c r="AJ118" s="6"/>
      <c r="AK118" s="83"/>
      <c r="AL118" s="6"/>
      <c r="AM118" s="6"/>
      <c r="AN118" s="6"/>
      <c r="AO118" s="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</row>
    <row r="119" spans="7:51" s="8" customFormat="1" ht="12.75" x14ac:dyDescent="0.2">
      <c r="G119" s="1"/>
      <c r="H119" s="2"/>
      <c r="I119" s="1"/>
      <c r="J119" s="66"/>
      <c r="K119" s="67"/>
      <c r="L119" s="72"/>
      <c r="M119" s="67"/>
      <c r="N119" s="67"/>
      <c r="O119" s="67"/>
      <c r="P119" s="67"/>
      <c r="Q119" s="67"/>
      <c r="R119" s="67"/>
      <c r="S119" s="67"/>
      <c r="T119" s="67"/>
      <c r="U119" s="67"/>
      <c r="V119" s="4"/>
      <c r="W119" s="4"/>
      <c r="X119" s="4"/>
      <c r="Y119" s="5"/>
      <c r="Z119" s="5"/>
      <c r="AA119" s="80"/>
      <c r="AB119" s="80"/>
      <c r="AC119" s="80"/>
      <c r="AD119" s="80"/>
      <c r="AE119" s="80"/>
      <c r="AF119" s="80"/>
      <c r="AG119" s="80"/>
      <c r="AH119" s="80"/>
      <c r="AI119" s="6"/>
      <c r="AJ119" s="6"/>
      <c r="AK119" s="83"/>
      <c r="AL119" s="6"/>
      <c r="AM119" s="6"/>
      <c r="AN119" s="6"/>
      <c r="AO119" s="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</row>
    <row r="120" spans="7:51" s="8" customFormat="1" ht="12.75" x14ac:dyDescent="0.2">
      <c r="G120" s="1"/>
      <c r="H120" s="2"/>
      <c r="I120" s="1"/>
      <c r="J120" s="66"/>
      <c r="K120" s="67"/>
      <c r="L120" s="72"/>
      <c r="M120" s="67"/>
      <c r="N120" s="67"/>
      <c r="O120" s="67"/>
      <c r="P120" s="67"/>
      <c r="Q120" s="67"/>
      <c r="R120" s="67"/>
      <c r="S120" s="67"/>
      <c r="T120" s="67"/>
      <c r="U120" s="67"/>
      <c r="V120" s="4"/>
      <c r="W120" s="4"/>
      <c r="X120" s="4"/>
      <c r="Y120" s="5"/>
      <c r="Z120" s="5"/>
      <c r="AA120" s="80"/>
      <c r="AB120" s="80"/>
      <c r="AC120" s="80"/>
      <c r="AD120" s="80"/>
      <c r="AE120" s="80"/>
      <c r="AF120" s="80"/>
      <c r="AG120" s="80"/>
      <c r="AH120" s="80"/>
      <c r="AI120" s="6"/>
      <c r="AJ120" s="6"/>
      <c r="AK120" s="83"/>
      <c r="AL120" s="6"/>
      <c r="AM120" s="6"/>
      <c r="AN120" s="6"/>
      <c r="AO120" s="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</row>
    <row r="121" spans="7:51" s="8" customFormat="1" ht="12.75" x14ac:dyDescent="0.2">
      <c r="G121" s="1"/>
      <c r="H121" s="2"/>
      <c r="I121" s="1"/>
      <c r="J121" s="66"/>
      <c r="K121" s="67"/>
      <c r="L121" s="72"/>
      <c r="M121" s="67"/>
      <c r="N121" s="67"/>
      <c r="O121" s="67"/>
      <c r="P121" s="67"/>
      <c r="Q121" s="67"/>
      <c r="R121" s="67"/>
      <c r="S121" s="67"/>
      <c r="T121" s="67"/>
      <c r="U121" s="67"/>
      <c r="V121" s="4"/>
      <c r="W121" s="4"/>
      <c r="X121" s="4"/>
      <c r="Y121" s="5"/>
      <c r="Z121" s="5"/>
      <c r="AA121" s="80"/>
      <c r="AB121" s="80"/>
      <c r="AC121" s="80"/>
      <c r="AD121" s="80"/>
      <c r="AE121" s="80"/>
      <c r="AF121" s="80"/>
      <c r="AG121" s="80"/>
      <c r="AH121" s="80"/>
      <c r="AI121" s="6"/>
      <c r="AJ121" s="6"/>
      <c r="AK121" s="83"/>
      <c r="AL121" s="6"/>
      <c r="AM121" s="6"/>
      <c r="AN121" s="6"/>
      <c r="AO121" s="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</row>
    <row r="122" spans="7:51" s="8" customFormat="1" ht="12.75" x14ac:dyDescent="0.2">
      <c r="G122" s="1"/>
      <c r="H122" s="2"/>
      <c r="I122" s="1"/>
      <c r="J122" s="66"/>
      <c r="K122" s="67"/>
      <c r="L122" s="72"/>
      <c r="M122" s="67"/>
      <c r="N122" s="67"/>
      <c r="O122" s="67"/>
      <c r="P122" s="67"/>
      <c r="Q122" s="67"/>
      <c r="R122" s="67"/>
      <c r="S122" s="67"/>
      <c r="T122" s="67"/>
      <c r="U122" s="67"/>
      <c r="V122" s="4"/>
      <c r="W122" s="4"/>
      <c r="X122" s="4"/>
      <c r="Y122" s="5"/>
      <c r="Z122" s="5"/>
      <c r="AA122" s="80"/>
      <c r="AB122" s="80"/>
      <c r="AC122" s="80"/>
      <c r="AD122" s="80"/>
      <c r="AE122" s="80"/>
      <c r="AF122" s="80"/>
      <c r="AG122" s="80"/>
      <c r="AH122" s="80"/>
      <c r="AI122" s="6"/>
      <c r="AJ122" s="6"/>
      <c r="AK122" s="83"/>
      <c r="AL122" s="6"/>
      <c r="AM122" s="6"/>
      <c r="AN122" s="6"/>
      <c r="AO122" s="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</row>
    <row r="123" spans="7:51" s="8" customFormat="1" ht="12.75" x14ac:dyDescent="0.2">
      <c r="G123" s="1"/>
      <c r="H123" s="2"/>
      <c r="I123" s="1"/>
      <c r="J123" s="66"/>
      <c r="K123" s="67"/>
      <c r="L123" s="72"/>
      <c r="M123" s="67"/>
      <c r="N123" s="67"/>
      <c r="O123" s="67"/>
      <c r="P123" s="67"/>
      <c r="Q123" s="67"/>
      <c r="R123" s="67"/>
      <c r="S123" s="67"/>
      <c r="T123" s="67"/>
      <c r="U123" s="67"/>
      <c r="V123" s="4"/>
      <c r="W123" s="4"/>
      <c r="X123" s="4"/>
      <c r="Y123" s="5"/>
      <c r="Z123" s="5"/>
      <c r="AA123" s="80"/>
      <c r="AB123" s="80"/>
      <c r="AC123" s="80"/>
      <c r="AD123" s="80"/>
      <c r="AE123" s="80"/>
      <c r="AF123" s="80"/>
      <c r="AG123" s="80"/>
      <c r="AH123" s="80"/>
      <c r="AI123" s="6"/>
      <c r="AJ123" s="6"/>
      <c r="AK123" s="83"/>
      <c r="AL123" s="6"/>
      <c r="AM123" s="6"/>
      <c r="AN123" s="6"/>
      <c r="AO123" s="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</row>
    <row r="124" spans="7:51" s="8" customFormat="1" ht="12.75" x14ac:dyDescent="0.2">
      <c r="G124" s="1"/>
      <c r="H124" s="2"/>
      <c r="I124" s="1"/>
      <c r="J124" s="66"/>
      <c r="K124" s="67"/>
      <c r="L124" s="72"/>
      <c r="M124" s="67"/>
      <c r="N124" s="67"/>
      <c r="O124" s="67"/>
      <c r="P124" s="67"/>
      <c r="Q124" s="67"/>
      <c r="R124" s="67"/>
      <c r="S124" s="67"/>
      <c r="T124" s="67"/>
      <c r="U124" s="67"/>
      <c r="V124" s="4"/>
      <c r="W124" s="4"/>
      <c r="X124" s="4"/>
      <c r="Y124" s="5"/>
      <c r="Z124" s="5"/>
      <c r="AA124" s="80"/>
      <c r="AB124" s="80"/>
      <c r="AC124" s="80"/>
      <c r="AD124" s="80"/>
      <c r="AE124" s="80"/>
      <c r="AF124" s="80"/>
      <c r="AG124" s="80"/>
      <c r="AH124" s="80"/>
      <c r="AI124" s="6"/>
      <c r="AJ124" s="6"/>
      <c r="AK124" s="83"/>
      <c r="AL124" s="6"/>
      <c r="AM124" s="6"/>
      <c r="AN124" s="6"/>
      <c r="AO124" s="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</row>
    <row r="125" spans="7:51" s="8" customFormat="1" ht="12.75" x14ac:dyDescent="0.2">
      <c r="G125" s="1"/>
      <c r="H125" s="2"/>
      <c r="I125" s="1"/>
      <c r="J125" s="66"/>
      <c r="K125" s="67"/>
      <c r="L125" s="72"/>
      <c r="M125" s="67"/>
      <c r="N125" s="67"/>
      <c r="O125" s="67"/>
      <c r="P125" s="67"/>
      <c r="Q125" s="67"/>
      <c r="R125" s="67"/>
      <c r="S125" s="67"/>
      <c r="T125" s="67"/>
      <c r="U125" s="67"/>
      <c r="V125" s="4"/>
      <c r="W125" s="4"/>
      <c r="X125" s="4"/>
      <c r="Y125" s="5"/>
      <c r="Z125" s="5"/>
      <c r="AA125" s="80"/>
      <c r="AB125" s="80"/>
      <c r="AC125" s="80"/>
      <c r="AD125" s="80"/>
      <c r="AE125" s="80"/>
      <c r="AF125" s="80"/>
      <c r="AG125" s="80"/>
      <c r="AH125" s="80"/>
      <c r="AI125" s="6"/>
      <c r="AJ125" s="6"/>
      <c r="AK125" s="83"/>
      <c r="AL125" s="6"/>
      <c r="AM125" s="6"/>
      <c r="AN125" s="6"/>
      <c r="AO125" s="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</row>
    <row r="126" spans="7:51" s="8" customFormat="1" ht="12.75" x14ac:dyDescent="0.2">
      <c r="G126" s="1"/>
      <c r="H126" s="2"/>
      <c r="I126" s="1"/>
      <c r="J126" s="66"/>
      <c r="K126" s="67"/>
      <c r="L126" s="72"/>
      <c r="M126" s="67"/>
      <c r="N126" s="67"/>
      <c r="O126" s="67"/>
      <c r="P126" s="67"/>
      <c r="Q126" s="67"/>
      <c r="R126" s="67"/>
      <c r="S126" s="67"/>
      <c r="T126" s="67"/>
      <c r="U126" s="67"/>
      <c r="V126" s="4"/>
      <c r="W126" s="4"/>
      <c r="X126" s="4"/>
      <c r="Y126" s="5"/>
      <c r="Z126" s="5"/>
      <c r="AA126" s="80"/>
      <c r="AB126" s="80"/>
      <c r="AC126" s="80"/>
      <c r="AD126" s="80"/>
      <c r="AE126" s="80"/>
      <c r="AF126" s="80"/>
      <c r="AG126" s="80"/>
      <c r="AH126" s="80"/>
      <c r="AI126" s="6"/>
      <c r="AJ126" s="6"/>
      <c r="AK126" s="83"/>
      <c r="AL126" s="6"/>
      <c r="AM126" s="6"/>
      <c r="AN126" s="6"/>
      <c r="AO126" s="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</row>
    <row r="127" spans="7:51" s="8" customFormat="1" ht="12.75" x14ac:dyDescent="0.2">
      <c r="G127" s="1"/>
      <c r="H127" s="2"/>
      <c r="I127" s="1"/>
      <c r="J127" s="66"/>
      <c r="K127" s="67"/>
      <c r="L127" s="72"/>
      <c r="M127" s="67"/>
      <c r="N127" s="67"/>
      <c r="O127" s="67"/>
      <c r="P127" s="67"/>
      <c r="Q127" s="67"/>
      <c r="R127" s="67"/>
      <c r="S127" s="67"/>
      <c r="T127" s="67"/>
      <c r="U127" s="67"/>
      <c r="V127" s="4"/>
      <c r="W127" s="4"/>
      <c r="X127" s="4"/>
      <c r="Y127" s="5"/>
      <c r="Z127" s="5"/>
      <c r="AA127" s="80"/>
      <c r="AB127" s="80"/>
      <c r="AC127" s="80"/>
      <c r="AD127" s="80"/>
      <c r="AE127" s="80"/>
      <c r="AF127" s="80"/>
      <c r="AG127" s="80"/>
      <c r="AH127" s="80"/>
      <c r="AI127" s="6"/>
      <c r="AJ127" s="6"/>
      <c r="AK127" s="83"/>
      <c r="AL127" s="6"/>
      <c r="AM127" s="6"/>
      <c r="AN127" s="6"/>
      <c r="AO127" s="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</row>
    <row r="128" spans="7:51" s="8" customFormat="1" ht="12.75" x14ac:dyDescent="0.2">
      <c r="G128" s="1"/>
      <c r="H128" s="2"/>
      <c r="I128" s="1"/>
      <c r="J128" s="66"/>
      <c r="K128" s="67"/>
      <c r="L128" s="72"/>
      <c r="M128" s="67"/>
      <c r="N128" s="67"/>
      <c r="O128" s="67"/>
      <c r="P128" s="67"/>
      <c r="Q128" s="67"/>
      <c r="R128" s="67"/>
      <c r="S128" s="67"/>
      <c r="T128" s="67"/>
      <c r="U128" s="67"/>
      <c r="V128" s="4"/>
      <c r="W128" s="4"/>
      <c r="X128" s="4"/>
      <c r="Y128" s="5"/>
      <c r="Z128" s="5"/>
      <c r="AA128" s="80"/>
      <c r="AB128" s="80"/>
      <c r="AC128" s="80"/>
      <c r="AD128" s="80"/>
      <c r="AE128" s="80"/>
      <c r="AF128" s="80"/>
      <c r="AG128" s="80"/>
      <c r="AH128" s="80"/>
      <c r="AI128" s="6"/>
      <c r="AJ128" s="6"/>
      <c r="AK128" s="83"/>
      <c r="AL128" s="6"/>
      <c r="AM128" s="6"/>
      <c r="AN128" s="6"/>
      <c r="AO128" s="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</row>
    <row r="129" spans="7:51" s="8" customFormat="1" ht="12.75" x14ac:dyDescent="0.2">
      <c r="G129" s="1"/>
      <c r="H129" s="2"/>
      <c r="I129" s="1"/>
      <c r="J129" s="66"/>
      <c r="K129" s="67"/>
      <c r="L129" s="72"/>
      <c r="M129" s="67"/>
      <c r="N129" s="67"/>
      <c r="O129" s="67"/>
      <c r="P129" s="67"/>
      <c r="Q129" s="67"/>
      <c r="R129" s="67"/>
      <c r="S129" s="67"/>
      <c r="T129" s="67"/>
      <c r="U129" s="67"/>
      <c r="V129" s="4"/>
      <c r="W129" s="4"/>
      <c r="X129" s="4"/>
      <c r="Y129" s="5"/>
      <c r="Z129" s="5"/>
      <c r="AA129" s="80"/>
      <c r="AB129" s="80"/>
      <c r="AC129" s="80"/>
      <c r="AD129" s="80"/>
      <c r="AE129" s="80"/>
      <c r="AF129" s="80"/>
      <c r="AG129" s="80"/>
      <c r="AH129" s="80"/>
      <c r="AI129" s="6"/>
      <c r="AJ129" s="6"/>
      <c r="AK129" s="83"/>
      <c r="AL129" s="6"/>
      <c r="AM129" s="6"/>
      <c r="AN129" s="6"/>
      <c r="AO129" s="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</row>
    <row r="130" spans="7:51" s="8" customFormat="1" ht="12.75" x14ac:dyDescent="0.2">
      <c r="G130" s="1"/>
      <c r="H130" s="2"/>
      <c r="I130" s="1"/>
      <c r="J130" s="66"/>
      <c r="K130" s="67"/>
      <c r="L130" s="72"/>
      <c r="M130" s="67"/>
      <c r="N130" s="67"/>
      <c r="O130" s="67"/>
      <c r="P130" s="67"/>
      <c r="Q130" s="67"/>
      <c r="R130" s="67"/>
      <c r="S130" s="67"/>
      <c r="T130" s="67"/>
      <c r="U130" s="67"/>
      <c r="V130" s="4"/>
      <c r="W130" s="4"/>
      <c r="X130" s="4"/>
      <c r="Y130" s="5"/>
      <c r="Z130" s="5"/>
      <c r="AA130" s="80"/>
      <c r="AB130" s="80"/>
      <c r="AC130" s="80"/>
      <c r="AD130" s="80"/>
      <c r="AE130" s="80"/>
      <c r="AF130" s="80"/>
      <c r="AG130" s="80"/>
      <c r="AH130" s="80"/>
      <c r="AI130" s="6"/>
      <c r="AJ130" s="6"/>
      <c r="AK130" s="83"/>
      <c r="AL130" s="6"/>
      <c r="AM130" s="6"/>
      <c r="AN130" s="6"/>
      <c r="AO130" s="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</row>
    <row r="131" spans="7:51" s="8" customFormat="1" ht="12.75" x14ac:dyDescent="0.2">
      <c r="G131" s="1"/>
      <c r="H131" s="2"/>
      <c r="I131" s="1"/>
      <c r="J131" s="66"/>
      <c r="K131" s="67"/>
      <c r="L131" s="72"/>
      <c r="M131" s="67"/>
      <c r="N131" s="67"/>
      <c r="O131" s="67"/>
      <c r="P131" s="67"/>
      <c r="Q131" s="67"/>
      <c r="R131" s="67"/>
      <c r="S131" s="67"/>
      <c r="T131" s="67"/>
      <c r="U131" s="67"/>
      <c r="V131" s="4"/>
      <c r="W131" s="4"/>
      <c r="X131" s="4"/>
      <c r="Y131" s="5"/>
      <c r="Z131" s="5"/>
      <c r="AA131" s="80"/>
      <c r="AB131" s="80"/>
      <c r="AC131" s="80"/>
      <c r="AD131" s="80"/>
      <c r="AE131" s="80"/>
      <c r="AF131" s="80"/>
      <c r="AG131" s="80"/>
      <c r="AH131" s="80"/>
      <c r="AI131" s="6"/>
      <c r="AJ131" s="6"/>
      <c r="AK131" s="83"/>
      <c r="AL131" s="6"/>
      <c r="AM131" s="6"/>
      <c r="AN131" s="6"/>
      <c r="AO131" s="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</row>
    <row r="132" spans="7:51" s="8" customFormat="1" ht="12.75" x14ac:dyDescent="0.2">
      <c r="G132" s="1"/>
      <c r="H132" s="2"/>
      <c r="I132" s="1"/>
      <c r="J132" s="66"/>
      <c r="K132" s="67"/>
      <c r="L132" s="72"/>
      <c r="M132" s="67"/>
      <c r="N132" s="67"/>
      <c r="O132" s="67"/>
      <c r="P132" s="67"/>
      <c r="Q132" s="67"/>
      <c r="R132" s="67"/>
      <c r="S132" s="67"/>
      <c r="T132" s="67"/>
      <c r="U132" s="67"/>
      <c r="V132" s="4"/>
      <c r="W132" s="4"/>
      <c r="X132" s="4"/>
      <c r="Y132" s="5"/>
      <c r="Z132" s="5"/>
      <c r="AA132" s="80"/>
      <c r="AB132" s="80"/>
      <c r="AC132" s="80"/>
      <c r="AD132" s="80"/>
      <c r="AE132" s="80"/>
      <c r="AF132" s="80"/>
      <c r="AG132" s="80"/>
      <c r="AH132" s="80"/>
      <c r="AI132" s="6"/>
      <c r="AJ132" s="6"/>
      <c r="AK132" s="83"/>
      <c r="AL132" s="6"/>
      <c r="AM132" s="6"/>
      <c r="AN132" s="6"/>
      <c r="AO132" s="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</row>
    <row r="133" spans="7:51" s="8" customFormat="1" ht="12.75" x14ac:dyDescent="0.2">
      <c r="G133" s="1"/>
      <c r="H133" s="2"/>
      <c r="I133" s="1"/>
      <c r="J133" s="66"/>
      <c r="K133" s="67"/>
      <c r="L133" s="72"/>
      <c r="M133" s="67"/>
      <c r="N133" s="67"/>
      <c r="O133" s="67"/>
      <c r="P133" s="67"/>
      <c r="Q133" s="67"/>
      <c r="R133" s="67"/>
      <c r="S133" s="67"/>
      <c r="T133" s="67"/>
      <c r="U133" s="67"/>
      <c r="V133" s="4"/>
      <c r="W133" s="4"/>
      <c r="X133" s="4"/>
      <c r="Y133" s="5"/>
      <c r="Z133" s="5"/>
      <c r="AA133" s="80"/>
      <c r="AB133" s="80"/>
      <c r="AC133" s="80"/>
      <c r="AD133" s="80"/>
      <c r="AE133" s="80"/>
      <c r="AF133" s="80"/>
      <c r="AG133" s="80"/>
      <c r="AH133" s="80"/>
      <c r="AI133" s="6"/>
      <c r="AJ133" s="6"/>
      <c r="AK133" s="83"/>
      <c r="AL133" s="6"/>
      <c r="AM133" s="6"/>
      <c r="AN133" s="6"/>
      <c r="AO133" s="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</row>
    <row r="134" spans="7:51" s="8" customFormat="1" ht="12.75" x14ac:dyDescent="0.2">
      <c r="G134" s="1"/>
      <c r="H134" s="2"/>
      <c r="I134" s="1"/>
      <c r="J134" s="66"/>
      <c r="K134" s="67"/>
      <c r="L134" s="72"/>
      <c r="M134" s="67"/>
      <c r="N134" s="67"/>
      <c r="O134" s="67"/>
      <c r="P134" s="67"/>
      <c r="Q134" s="67"/>
      <c r="R134" s="67"/>
      <c r="S134" s="67"/>
      <c r="T134" s="67"/>
      <c r="U134" s="67"/>
      <c r="V134" s="4"/>
      <c r="W134" s="4"/>
      <c r="X134" s="4"/>
      <c r="Y134" s="5"/>
      <c r="Z134" s="5"/>
      <c r="AA134" s="80"/>
      <c r="AB134" s="80"/>
      <c r="AC134" s="80"/>
      <c r="AD134" s="80"/>
      <c r="AE134" s="80"/>
      <c r="AF134" s="80"/>
      <c r="AG134" s="80"/>
      <c r="AH134" s="80"/>
      <c r="AI134" s="6"/>
      <c r="AJ134" s="6"/>
      <c r="AK134" s="83"/>
      <c r="AL134" s="6"/>
      <c r="AM134" s="6"/>
      <c r="AN134" s="6"/>
      <c r="AO134" s="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</row>
    <row r="135" spans="7:51" s="8" customFormat="1" ht="12.75" x14ac:dyDescent="0.2">
      <c r="G135" s="1"/>
      <c r="H135" s="2"/>
      <c r="I135" s="1"/>
      <c r="J135" s="66"/>
      <c r="K135" s="67"/>
      <c r="L135" s="72"/>
      <c r="M135" s="67"/>
      <c r="N135" s="67"/>
      <c r="O135" s="67"/>
      <c r="P135" s="67"/>
      <c r="Q135" s="67"/>
      <c r="R135" s="67"/>
      <c r="S135" s="67"/>
      <c r="T135" s="67"/>
      <c r="U135" s="67"/>
      <c r="V135" s="4"/>
      <c r="W135" s="4"/>
      <c r="X135" s="4"/>
      <c r="Y135" s="5"/>
      <c r="Z135" s="5"/>
      <c r="AA135" s="80"/>
      <c r="AB135" s="80"/>
      <c r="AC135" s="80"/>
      <c r="AD135" s="80"/>
      <c r="AE135" s="80"/>
      <c r="AF135" s="80"/>
      <c r="AG135" s="80"/>
      <c r="AH135" s="80"/>
      <c r="AI135" s="6"/>
      <c r="AJ135" s="6"/>
      <c r="AK135" s="83"/>
      <c r="AL135" s="6"/>
      <c r="AM135" s="6"/>
      <c r="AN135" s="6"/>
      <c r="AO135" s="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</row>
    <row r="136" spans="7:51" s="8" customFormat="1" ht="12.75" x14ac:dyDescent="0.2">
      <c r="G136" s="1"/>
      <c r="H136" s="2"/>
      <c r="I136" s="1"/>
      <c r="J136" s="66"/>
      <c r="K136" s="67"/>
      <c r="L136" s="72"/>
      <c r="M136" s="67"/>
      <c r="N136" s="67"/>
      <c r="O136" s="67"/>
      <c r="P136" s="67"/>
      <c r="Q136" s="67"/>
      <c r="R136" s="67"/>
      <c r="S136" s="67"/>
      <c r="T136" s="67"/>
      <c r="U136" s="67"/>
      <c r="V136" s="4"/>
      <c r="W136" s="4"/>
      <c r="X136" s="4"/>
      <c r="Y136" s="5"/>
      <c r="Z136" s="5"/>
      <c r="AA136" s="80"/>
      <c r="AB136" s="80"/>
      <c r="AC136" s="80"/>
      <c r="AD136" s="80"/>
      <c r="AE136" s="80"/>
      <c r="AF136" s="80"/>
      <c r="AG136" s="80"/>
      <c r="AH136" s="80"/>
      <c r="AI136" s="6"/>
      <c r="AJ136" s="6"/>
      <c r="AK136" s="83"/>
      <c r="AL136" s="6"/>
      <c r="AM136" s="6"/>
      <c r="AN136" s="6"/>
      <c r="AO136" s="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</row>
    <row r="137" spans="7:51" s="8" customFormat="1" ht="12.75" x14ac:dyDescent="0.2">
      <c r="G137" s="1"/>
      <c r="H137" s="2"/>
      <c r="I137" s="1"/>
      <c r="J137" s="66"/>
      <c r="K137" s="67"/>
      <c r="L137" s="72"/>
      <c r="M137" s="67"/>
      <c r="N137" s="67"/>
      <c r="O137" s="67"/>
      <c r="P137" s="67"/>
      <c r="Q137" s="67"/>
      <c r="R137" s="67"/>
      <c r="S137" s="67"/>
      <c r="T137" s="67"/>
      <c r="U137" s="67"/>
      <c r="V137" s="4"/>
      <c r="W137" s="4"/>
      <c r="X137" s="4"/>
      <c r="Y137" s="5"/>
      <c r="Z137" s="5"/>
      <c r="AA137" s="80"/>
      <c r="AB137" s="80"/>
      <c r="AC137" s="80"/>
      <c r="AD137" s="80"/>
      <c r="AE137" s="80"/>
      <c r="AF137" s="80"/>
      <c r="AG137" s="80"/>
      <c r="AH137" s="80"/>
      <c r="AI137" s="6"/>
      <c r="AJ137" s="6"/>
      <c r="AK137" s="83"/>
      <c r="AL137" s="6"/>
      <c r="AM137" s="6"/>
      <c r="AN137" s="6"/>
      <c r="AO137" s="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</row>
    <row r="138" spans="7:51" s="8" customFormat="1" ht="12.75" x14ac:dyDescent="0.2">
      <c r="G138" s="1"/>
      <c r="H138" s="2"/>
      <c r="I138" s="1"/>
      <c r="J138" s="66"/>
      <c r="K138" s="67"/>
      <c r="L138" s="72"/>
      <c r="M138" s="67"/>
      <c r="N138" s="67"/>
      <c r="O138" s="67"/>
      <c r="P138" s="67"/>
      <c r="Q138" s="67"/>
      <c r="R138" s="67"/>
      <c r="S138" s="67"/>
      <c r="T138" s="67"/>
      <c r="U138" s="67"/>
      <c r="V138" s="4"/>
      <c r="W138" s="4"/>
      <c r="X138" s="4"/>
      <c r="Y138" s="5"/>
      <c r="Z138" s="5"/>
      <c r="AA138" s="80"/>
      <c r="AB138" s="80"/>
      <c r="AC138" s="80"/>
      <c r="AD138" s="80"/>
      <c r="AE138" s="80"/>
      <c r="AF138" s="80"/>
      <c r="AG138" s="80"/>
      <c r="AH138" s="80"/>
      <c r="AI138" s="6"/>
      <c r="AJ138" s="6"/>
      <c r="AK138" s="83"/>
      <c r="AL138" s="6"/>
      <c r="AM138" s="6"/>
      <c r="AN138" s="6"/>
      <c r="AO138" s="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</row>
    <row r="139" spans="7:51" s="8" customFormat="1" ht="12.75" x14ac:dyDescent="0.2">
      <c r="G139" s="1"/>
      <c r="H139" s="2"/>
      <c r="I139" s="1"/>
      <c r="J139" s="66"/>
      <c r="K139" s="67"/>
      <c r="L139" s="72"/>
      <c r="M139" s="67"/>
      <c r="N139" s="67"/>
      <c r="O139" s="67"/>
      <c r="P139" s="67"/>
      <c r="Q139" s="67"/>
      <c r="R139" s="67"/>
      <c r="S139" s="67"/>
      <c r="T139" s="67"/>
      <c r="U139" s="67"/>
      <c r="V139" s="4"/>
      <c r="W139" s="4"/>
      <c r="X139" s="4"/>
      <c r="Y139" s="5"/>
      <c r="Z139" s="5"/>
      <c r="AA139" s="80"/>
      <c r="AB139" s="80"/>
      <c r="AC139" s="80"/>
      <c r="AD139" s="80"/>
      <c r="AE139" s="80"/>
      <c r="AF139" s="80"/>
      <c r="AG139" s="80"/>
      <c r="AH139" s="80"/>
      <c r="AI139" s="6"/>
      <c r="AJ139" s="6"/>
      <c r="AK139" s="83"/>
      <c r="AL139" s="6"/>
      <c r="AM139" s="6"/>
      <c r="AN139" s="6"/>
      <c r="AO139" s="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</row>
    <row r="140" spans="7:51" s="8" customFormat="1" ht="12.75" x14ac:dyDescent="0.2">
      <c r="G140" s="1"/>
      <c r="H140" s="2"/>
      <c r="I140" s="1"/>
      <c r="J140" s="66"/>
      <c r="K140" s="67"/>
      <c r="L140" s="72"/>
      <c r="M140" s="67"/>
      <c r="N140" s="67"/>
      <c r="O140" s="67"/>
      <c r="P140" s="67"/>
      <c r="Q140" s="67"/>
      <c r="R140" s="67"/>
      <c r="S140" s="67"/>
      <c r="T140" s="67"/>
      <c r="U140" s="67"/>
      <c r="V140" s="4"/>
      <c r="W140" s="4"/>
      <c r="X140" s="4"/>
      <c r="Y140" s="5"/>
      <c r="Z140" s="5"/>
      <c r="AA140" s="80"/>
      <c r="AB140" s="80"/>
      <c r="AC140" s="80"/>
      <c r="AD140" s="80"/>
      <c r="AE140" s="80"/>
      <c r="AF140" s="80"/>
      <c r="AG140" s="80"/>
      <c r="AH140" s="80"/>
      <c r="AI140" s="6"/>
      <c r="AJ140" s="6"/>
      <c r="AK140" s="83"/>
      <c r="AL140" s="6"/>
      <c r="AM140" s="6"/>
      <c r="AN140" s="6"/>
      <c r="AO140" s="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</row>
    <row r="141" spans="7:51" s="8" customFormat="1" ht="12.75" x14ac:dyDescent="0.2">
      <c r="G141" s="1"/>
      <c r="H141" s="2"/>
      <c r="I141" s="1"/>
      <c r="J141" s="66"/>
      <c r="K141" s="67"/>
      <c r="L141" s="72"/>
      <c r="M141" s="67"/>
      <c r="N141" s="67"/>
      <c r="O141" s="67"/>
      <c r="P141" s="67"/>
      <c r="Q141" s="67"/>
      <c r="R141" s="67"/>
      <c r="S141" s="67"/>
      <c r="T141" s="67"/>
      <c r="U141" s="67"/>
      <c r="V141" s="4"/>
      <c r="W141" s="4"/>
      <c r="X141" s="4"/>
      <c r="Y141" s="5"/>
      <c r="Z141" s="5"/>
      <c r="AA141" s="80"/>
      <c r="AB141" s="80"/>
      <c r="AC141" s="80"/>
      <c r="AD141" s="80"/>
      <c r="AE141" s="80"/>
      <c r="AF141" s="80"/>
      <c r="AG141" s="80"/>
      <c r="AH141" s="80"/>
      <c r="AI141" s="6"/>
      <c r="AJ141" s="6"/>
      <c r="AK141" s="83"/>
      <c r="AL141" s="6"/>
      <c r="AM141" s="6"/>
      <c r="AN141" s="6"/>
      <c r="AO141" s="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</row>
    <row r="142" spans="7:51" s="8" customFormat="1" ht="12.75" x14ac:dyDescent="0.2">
      <c r="G142" s="1"/>
      <c r="H142" s="2"/>
      <c r="I142" s="1"/>
      <c r="J142" s="66"/>
      <c r="K142" s="67"/>
      <c r="L142" s="72"/>
      <c r="M142" s="67"/>
      <c r="N142" s="67"/>
      <c r="O142" s="67"/>
      <c r="P142" s="67"/>
      <c r="Q142" s="67"/>
      <c r="R142" s="67"/>
      <c r="S142" s="67"/>
      <c r="T142" s="67"/>
      <c r="U142" s="67"/>
      <c r="V142" s="4"/>
      <c r="W142" s="4"/>
      <c r="X142" s="4"/>
      <c r="Y142" s="5"/>
      <c r="Z142" s="5"/>
      <c r="AA142" s="80"/>
      <c r="AB142" s="80"/>
      <c r="AC142" s="80"/>
      <c r="AD142" s="80"/>
      <c r="AE142" s="80"/>
      <c r="AF142" s="80"/>
      <c r="AG142" s="80"/>
      <c r="AH142" s="80"/>
      <c r="AI142" s="6"/>
      <c r="AJ142" s="6"/>
      <c r="AK142" s="83"/>
      <c r="AL142" s="6"/>
      <c r="AM142" s="6"/>
      <c r="AN142" s="6"/>
      <c r="AO142" s="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</row>
    <row r="143" spans="7:51" s="8" customFormat="1" ht="12.75" x14ac:dyDescent="0.2">
      <c r="G143" s="1"/>
      <c r="H143" s="2"/>
      <c r="I143" s="1"/>
      <c r="J143" s="66"/>
      <c r="K143" s="67"/>
      <c r="L143" s="72"/>
      <c r="M143" s="67"/>
      <c r="N143" s="67"/>
      <c r="O143" s="67"/>
      <c r="P143" s="67"/>
      <c r="Q143" s="67"/>
      <c r="R143" s="67"/>
      <c r="S143" s="67"/>
      <c r="T143" s="67"/>
      <c r="U143" s="67"/>
      <c r="V143" s="4"/>
      <c r="W143" s="4"/>
      <c r="X143" s="4"/>
      <c r="Y143" s="5"/>
      <c r="Z143" s="5"/>
      <c r="AA143" s="80"/>
      <c r="AB143" s="80"/>
      <c r="AC143" s="80"/>
      <c r="AD143" s="80"/>
      <c r="AE143" s="80"/>
      <c r="AF143" s="80"/>
      <c r="AG143" s="80"/>
      <c r="AH143" s="80"/>
      <c r="AI143" s="6"/>
      <c r="AJ143" s="6"/>
      <c r="AK143" s="83"/>
      <c r="AL143" s="6"/>
      <c r="AM143" s="6"/>
      <c r="AN143" s="6"/>
      <c r="AO143" s="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</row>
    <row r="144" spans="7:51" s="8" customFormat="1" ht="12.75" x14ac:dyDescent="0.2">
      <c r="G144" s="1"/>
      <c r="H144" s="2"/>
      <c r="I144" s="1"/>
      <c r="J144" s="66"/>
      <c r="K144" s="67"/>
      <c r="L144" s="72"/>
      <c r="M144" s="67"/>
      <c r="N144" s="67"/>
      <c r="O144" s="67"/>
      <c r="P144" s="67"/>
      <c r="Q144" s="67"/>
      <c r="R144" s="67"/>
      <c r="S144" s="67"/>
      <c r="T144" s="67"/>
      <c r="U144" s="67"/>
      <c r="V144" s="4"/>
      <c r="W144" s="4"/>
      <c r="X144" s="4"/>
      <c r="Y144" s="5"/>
      <c r="Z144" s="5"/>
      <c r="AA144" s="80"/>
      <c r="AB144" s="80"/>
      <c r="AC144" s="80"/>
      <c r="AD144" s="80"/>
      <c r="AE144" s="80"/>
      <c r="AF144" s="80"/>
      <c r="AG144" s="80"/>
      <c r="AH144" s="80"/>
      <c r="AI144" s="6"/>
      <c r="AJ144" s="6"/>
      <c r="AK144" s="83"/>
      <c r="AL144" s="6"/>
      <c r="AM144" s="6"/>
      <c r="AN144" s="6"/>
      <c r="AO144" s="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</row>
    <row r="145" spans="7:51" s="8" customFormat="1" ht="12.75" x14ac:dyDescent="0.2">
      <c r="G145" s="1"/>
      <c r="H145" s="2"/>
      <c r="I145" s="1"/>
      <c r="J145" s="66"/>
      <c r="K145" s="67"/>
      <c r="L145" s="72"/>
      <c r="M145" s="67"/>
      <c r="N145" s="67"/>
      <c r="O145" s="67"/>
      <c r="P145" s="67"/>
      <c r="Q145" s="67"/>
      <c r="R145" s="67"/>
      <c r="S145" s="67"/>
      <c r="T145" s="67"/>
      <c r="U145" s="67"/>
      <c r="V145" s="4"/>
      <c r="W145" s="4"/>
      <c r="X145" s="4"/>
      <c r="Y145" s="5"/>
      <c r="Z145" s="5"/>
      <c r="AA145" s="80"/>
      <c r="AB145" s="80"/>
      <c r="AC145" s="80"/>
      <c r="AD145" s="80"/>
      <c r="AE145" s="80"/>
      <c r="AF145" s="80"/>
      <c r="AG145" s="80"/>
      <c r="AH145" s="80"/>
      <c r="AI145" s="6"/>
      <c r="AJ145" s="6"/>
      <c r="AK145" s="83"/>
      <c r="AL145" s="6"/>
      <c r="AM145" s="6"/>
      <c r="AN145" s="6"/>
      <c r="AO145" s="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</row>
    <row r="146" spans="7:51" s="8" customFormat="1" ht="12.75" x14ac:dyDescent="0.2">
      <c r="G146" s="1"/>
      <c r="H146" s="2"/>
      <c r="I146" s="1"/>
      <c r="J146" s="66"/>
      <c r="K146" s="67"/>
      <c r="L146" s="72"/>
      <c r="M146" s="67"/>
      <c r="N146" s="67"/>
      <c r="O146" s="67"/>
      <c r="P146" s="67"/>
      <c r="Q146" s="67"/>
      <c r="R146" s="67"/>
      <c r="S146" s="67"/>
      <c r="T146" s="67"/>
      <c r="U146" s="67"/>
      <c r="V146" s="4"/>
      <c r="W146" s="4"/>
      <c r="X146" s="4"/>
      <c r="Y146" s="5"/>
      <c r="Z146" s="5"/>
      <c r="AA146" s="80"/>
      <c r="AB146" s="80"/>
      <c r="AC146" s="80"/>
      <c r="AD146" s="80"/>
      <c r="AE146" s="80"/>
      <c r="AF146" s="80"/>
      <c r="AG146" s="80"/>
      <c r="AH146" s="80"/>
      <c r="AI146" s="6"/>
      <c r="AJ146" s="6"/>
      <c r="AK146" s="83"/>
      <c r="AL146" s="6"/>
      <c r="AM146" s="6"/>
      <c r="AN146" s="6"/>
      <c r="AO146" s="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</row>
    <row r="147" spans="7:51" s="8" customFormat="1" ht="12.75" x14ac:dyDescent="0.2">
      <c r="G147" s="1"/>
      <c r="H147" s="2"/>
      <c r="I147" s="1"/>
      <c r="J147" s="66"/>
      <c r="K147" s="67"/>
      <c r="L147" s="72"/>
      <c r="M147" s="67"/>
      <c r="N147" s="67"/>
      <c r="O147" s="67"/>
      <c r="P147" s="67"/>
      <c r="Q147" s="67"/>
      <c r="R147" s="67"/>
      <c r="S147" s="67"/>
      <c r="T147" s="67"/>
      <c r="U147" s="67"/>
      <c r="V147" s="4"/>
      <c r="W147" s="4"/>
      <c r="X147" s="4"/>
      <c r="Y147" s="5"/>
      <c r="Z147" s="5"/>
      <c r="AA147" s="80"/>
      <c r="AB147" s="80"/>
      <c r="AC147" s="80"/>
      <c r="AD147" s="80"/>
      <c r="AE147" s="80"/>
      <c r="AF147" s="80"/>
      <c r="AG147" s="80"/>
      <c r="AH147" s="80"/>
      <c r="AI147" s="6"/>
      <c r="AJ147" s="6"/>
      <c r="AK147" s="83"/>
      <c r="AL147" s="6"/>
      <c r="AM147" s="6"/>
      <c r="AN147" s="6"/>
      <c r="AO147" s="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</row>
    <row r="148" spans="7:51" s="8" customFormat="1" ht="12.75" x14ac:dyDescent="0.2">
      <c r="G148" s="1"/>
      <c r="H148" s="2"/>
      <c r="I148" s="1"/>
      <c r="J148" s="66"/>
      <c r="K148" s="67"/>
      <c r="L148" s="72"/>
      <c r="M148" s="67"/>
      <c r="N148" s="67"/>
      <c r="O148" s="67"/>
      <c r="P148" s="67"/>
      <c r="Q148" s="67"/>
      <c r="R148" s="67"/>
      <c r="S148" s="67"/>
      <c r="T148" s="67"/>
      <c r="U148" s="67"/>
      <c r="V148" s="4"/>
      <c r="W148" s="4"/>
      <c r="X148" s="4"/>
      <c r="Y148" s="5"/>
      <c r="Z148" s="5"/>
      <c r="AA148" s="80"/>
      <c r="AB148" s="80"/>
      <c r="AC148" s="80"/>
      <c r="AD148" s="80"/>
      <c r="AE148" s="80"/>
      <c r="AF148" s="80"/>
      <c r="AG148" s="80"/>
      <c r="AH148" s="80"/>
      <c r="AI148" s="6"/>
      <c r="AJ148" s="6"/>
      <c r="AK148" s="83"/>
      <c r="AL148" s="6"/>
      <c r="AM148" s="6"/>
      <c r="AN148" s="6"/>
      <c r="AO148" s="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</row>
    <row r="149" spans="7:51" s="8" customFormat="1" ht="12.75" x14ac:dyDescent="0.2">
      <c r="G149" s="1"/>
      <c r="H149" s="2"/>
      <c r="I149" s="1"/>
      <c r="J149" s="66"/>
      <c r="K149" s="67"/>
      <c r="L149" s="72"/>
      <c r="M149" s="67"/>
      <c r="N149" s="67"/>
      <c r="O149" s="67"/>
      <c r="P149" s="67"/>
      <c r="Q149" s="67"/>
      <c r="R149" s="67"/>
      <c r="S149" s="67"/>
      <c r="T149" s="67"/>
      <c r="U149" s="67"/>
      <c r="V149" s="4"/>
      <c r="W149" s="4"/>
      <c r="X149" s="4"/>
      <c r="Y149" s="5"/>
      <c r="Z149" s="5"/>
      <c r="AA149" s="80"/>
      <c r="AB149" s="80"/>
      <c r="AC149" s="80"/>
      <c r="AD149" s="80"/>
      <c r="AE149" s="80"/>
      <c r="AF149" s="80"/>
      <c r="AG149" s="80"/>
      <c r="AH149" s="80"/>
      <c r="AI149" s="6"/>
      <c r="AJ149" s="6"/>
      <c r="AK149" s="83"/>
      <c r="AL149" s="6"/>
      <c r="AM149" s="6"/>
      <c r="AN149" s="6"/>
      <c r="AO149" s="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</row>
    <row r="150" spans="7:51" s="8" customFormat="1" ht="12.75" x14ac:dyDescent="0.2">
      <c r="G150" s="1"/>
      <c r="H150" s="2"/>
      <c r="I150" s="1"/>
      <c r="J150" s="66"/>
      <c r="K150" s="67"/>
      <c r="L150" s="72"/>
      <c r="M150" s="67"/>
      <c r="N150" s="67"/>
      <c r="O150" s="67"/>
      <c r="P150" s="67"/>
      <c r="Q150" s="67"/>
      <c r="R150" s="67"/>
      <c r="S150" s="67"/>
      <c r="T150" s="67"/>
      <c r="U150" s="67"/>
      <c r="V150" s="4"/>
      <c r="W150" s="4"/>
      <c r="X150" s="4"/>
      <c r="Y150" s="5"/>
      <c r="Z150" s="5"/>
      <c r="AA150" s="80"/>
      <c r="AB150" s="80"/>
      <c r="AC150" s="80"/>
      <c r="AD150" s="80"/>
      <c r="AE150" s="80"/>
      <c r="AF150" s="80"/>
      <c r="AG150" s="80"/>
      <c r="AH150" s="80"/>
      <c r="AI150" s="6"/>
      <c r="AJ150" s="6"/>
      <c r="AK150" s="83"/>
      <c r="AL150" s="6"/>
      <c r="AM150" s="6"/>
      <c r="AN150" s="6"/>
      <c r="AO150" s="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</row>
    <row r="151" spans="7:51" s="8" customFormat="1" ht="12.75" x14ac:dyDescent="0.2">
      <c r="G151" s="1"/>
      <c r="H151" s="2"/>
      <c r="I151" s="1"/>
      <c r="J151" s="66"/>
      <c r="K151" s="67"/>
      <c r="L151" s="72"/>
      <c r="M151" s="67"/>
      <c r="N151" s="67"/>
      <c r="O151" s="67"/>
      <c r="P151" s="67"/>
      <c r="Q151" s="67"/>
      <c r="R151" s="67"/>
      <c r="S151" s="67"/>
      <c r="T151" s="67"/>
      <c r="U151" s="67"/>
      <c r="V151" s="4"/>
      <c r="W151" s="4"/>
      <c r="X151" s="4"/>
      <c r="Y151" s="5"/>
      <c r="Z151" s="5"/>
      <c r="AA151" s="80"/>
      <c r="AB151" s="80"/>
      <c r="AC151" s="80"/>
      <c r="AD151" s="80"/>
      <c r="AE151" s="80"/>
      <c r="AF151" s="80"/>
      <c r="AG151" s="80"/>
      <c r="AH151" s="80"/>
      <c r="AI151" s="6"/>
      <c r="AJ151" s="6"/>
      <c r="AK151" s="83"/>
      <c r="AL151" s="6"/>
      <c r="AM151" s="6"/>
      <c r="AN151" s="6"/>
      <c r="AO151" s="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</row>
    <row r="152" spans="7:51" s="8" customFormat="1" ht="12.75" x14ac:dyDescent="0.2">
      <c r="G152" s="1"/>
      <c r="H152" s="2"/>
      <c r="I152" s="1"/>
      <c r="J152" s="66"/>
      <c r="K152" s="67"/>
      <c r="L152" s="72"/>
      <c r="M152" s="67"/>
      <c r="N152" s="67"/>
      <c r="O152" s="67"/>
      <c r="P152" s="67"/>
      <c r="Q152" s="67"/>
      <c r="R152" s="67"/>
      <c r="S152" s="67"/>
      <c r="T152" s="67"/>
      <c r="U152" s="67"/>
      <c r="V152" s="4"/>
      <c r="W152" s="4"/>
      <c r="X152" s="4"/>
      <c r="Y152" s="5"/>
      <c r="Z152" s="5"/>
      <c r="AA152" s="80"/>
      <c r="AB152" s="80"/>
      <c r="AC152" s="80"/>
      <c r="AD152" s="80"/>
      <c r="AE152" s="80"/>
      <c r="AF152" s="80"/>
      <c r="AG152" s="80"/>
      <c r="AH152" s="80"/>
      <c r="AI152" s="6"/>
      <c r="AJ152" s="6"/>
      <c r="AK152" s="83"/>
      <c r="AL152" s="6"/>
      <c r="AM152" s="6"/>
      <c r="AN152" s="6"/>
      <c r="AO152" s="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</row>
    <row r="153" spans="7:51" s="8" customFormat="1" ht="12.75" x14ac:dyDescent="0.2">
      <c r="G153" s="1"/>
      <c r="H153" s="2"/>
      <c r="I153" s="1"/>
      <c r="J153" s="66"/>
      <c r="K153" s="67"/>
      <c r="L153" s="72"/>
      <c r="M153" s="67"/>
      <c r="N153" s="67"/>
      <c r="O153" s="67"/>
      <c r="P153" s="67"/>
      <c r="Q153" s="67"/>
      <c r="R153" s="67"/>
      <c r="S153" s="67"/>
      <c r="T153" s="67"/>
      <c r="U153" s="67"/>
      <c r="V153" s="4"/>
      <c r="W153" s="4"/>
      <c r="X153" s="4"/>
      <c r="Y153" s="5"/>
      <c r="Z153" s="5"/>
      <c r="AA153" s="80"/>
      <c r="AB153" s="80"/>
      <c r="AC153" s="80"/>
      <c r="AD153" s="80"/>
      <c r="AE153" s="80"/>
      <c r="AF153" s="80"/>
      <c r="AG153" s="80"/>
      <c r="AH153" s="80"/>
      <c r="AI153" s="6"/>
      <c r="AJ153" s="6"/>
      <c r="AK153" s="83"/>
      <c r="AL153" s="6"/>
      <c r="AM153" s="6"/>
      <c r="AN153" s="6"/>
      <c r="AO153" s="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</row>
    <row r="154" spans="7:51" s="8" customFormat="1" ht="12.75" x14ac:dyDescent="0.2">
      <c r="G154" s="1"/>
      <c r="H154" s="2"/>
      <c r="I154" s="1"/>
      <c r="J154" s="66"/>
      <c r="K154" s="67"/>
      <c r="L154" s="72"/>
      <c r="M154" s="67"/>
      <c r="N154" s="67"/>
      <c r="O154" s="67"/>
      <c r="P154" s="67"/>
      <c r="Q154" s="67"/>
      <c r="R154" s="67"/>
      <c r="S154" s="67"/>
      <c r="T154" s="67"/>
      <c r="U154" s="67"/>
      <c r="V154" s="4"/>
      <c r="W154" s="4"/>
      <c r="X154" s="4"/>
      <c r="Y154" s="5"/>
      <c r="Z154" s="5"/>
      <c r="AA154" s="80"/>
      <c r="AB154" s="80"/>
      <c r="AC154" s="80"/>
      <c r="AD154" s="80"/>
      <c r="AE154" s="80"/>
      <c r="AF154" s="80"/>
      <c r="AG154" s="80"/>
      <c r="AH154" s="80"/>
      <c r="AI154" s="6"/>
      <c r="AJ154" s="6"/>
      <c r="AK154" s="83"/>
      <c r="AL154" s="6"/>
      <c r="AM154" s="6"/>
      <c r="AN154" s="6"/>
      <c r="AO154" s="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</row>
    <row r="155" spans="7:51" s="8" customFormat="1" ht="12.75" x14ac:dyDescent="0.2">
      <c r="G155" s="1"/>
      <c r="H155" s="2"/>
      <c r="I155" s="1"/>
      <c r="J155" s="66"/>
      <c r="K155" s="67"/>
      <c r="L155" s="72"/>
      <c r="M155" s="67"/>
      <c r="N155" s="67"/>
      <c r="O155" s="67"/>
      <c r="P155" s="67"/>
      <c r="Q155" s="67"/>
      <c r="R155" s="67"/>
      <c r="S155" s="67"/>
      <c r="T155" s="67"/>
      <c r="U155" s="67"/>
      <c r="V155" s="4"/>
      <c r="W155" s="4"/>
      <c r="X155" s="4"/>
      <c r="Y155" s="5"/>
      <c r="Z155" s="5"/>
      <c r="AA155" s="80"/>
      <c r="AB155" s="80"/>
      <c r="AC155" s="80"/>
      <c r="AD155" s="80"/>
      <c r="AE155" s="80"/>
      <c r="AF155" s="80"/>
      <c r="AG155" s="80"/>
      <c r="AH155" s="80"/>
      <c r="AI155" s="6"/>
      <c r="AJ155" s="6"/>
      <c r="AK155" s="83"/>
      <c r="AL155" s="6"/>
      <c r="AM155" s="6"/>
      <c r="AN155" s="6"/>
      <c r="AO155" s="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</row>
    <row r="156" spans="7:51" s="8" customFormat="1" ht="12.75" x14ac:dyDescent="0.2">
      <c r="G156" s="1"/>
      <c r="H156" s="2"/>
      <c r="I156" s="1"/>
      <c r="J156" s="66"/>
      <c r="K156" s="67"/>
      <c r="L156" s="72"/>
      <c r="M156" s="67"/>
      <c r="N156" s="67"/>
      <c r="O156" s="67"/>
      <c r="P156" s="67"/>
      <c r="Q156" s="67"/>
      <c r="R156" s="67"/>
      <c r="S156" s="67"/>
      <c r="T156" s="67"/>
      <c r="U156" s="67"/>
      <c r="V156" s="4"/>
      <c r="W156" s="4"/>
      <c r="X156" s="4"/>
      <c r="Y156" s="5"/>
      <c r="Z156" s="5"/>
      <c r="AA156" s="80"/>
      <c r="AB156" s="80"/>
      <c r="AC156" s="80"/>
      <c r="AD156" s="80"/>
      <c r="AE156" s="80"/>
      <c r="AF156" s="80"/>
      <c r="AG156" s="80"/>
      <c r="AH156" s="80"/>
      <c r="AI156" s="6"/>
      <c r="AJ156" s="6"/>
      <c r="AK156" s="83"/>
      <c r="AL156" s="6"/>
      <c r="AM156" s="6"/>
      <c r="AN156" s="6"/>
      <c r="AO156" s="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</row>
    <row r="157" spans="7:51" s="8" customFormat="1" ht="12.75" x14ac:dyDescent="0.2">
      <c r="G157" s="1"/>
      <c r="H157" s="2"/>
      <c r="I157" s="1"/>
      <c r="J157" s="66"/>
      <c r="K157" s="67"/>
      <c r="L157" s="72"/>
      <c r="M157" s="67"/>
      <c r="N157" s="67"/>
      <c r="O157" s="67"/>
      <c r="P157" s="67"/>
      <c r="Q157" s="67"/>
      <c r="R157" s="67"/>
      <c r="S157" s="67"/>
      <c r="T157" s="67"/>
      <c r="U157" s="67"/>
      <c r="V157" s="4"/>
      <c r="W157" s="4"/>
      <c r="X157" s="4"/>
      <c r="Y157" s="5"/>
      <c r="Z157" s="5"/>
      <c r="AA157" s="80"/>
      <c r="AB157" s="80"/>
      <c r="AC157" s="80"/>
      <c r="AD157" s="80"/>
      <c r="AE157" s="80"/>
      <c r="AF157" s="80"/>
      <c r="AG157" s="80"/>
      <c r="AH157" s="80"/>
      <c r="AI157" s="6"/>
      <c r="AJ157" s="6"/>
      <c r="AK157" s="83"/>
      <c r="AL157" s="6"/>
      <c r="AM157" s="6"/>
      <c r="AN157" s="6"/>
      <c r="AO157" s="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</row>
    <row r="158" spans="7:51" s="8" customFormat="1" ht="12.75" x14ac:dyDescent="0.2">
      <c r="G158" s="1"/>
      <c r="H158" s="2"/>
      <c r="I158" s="1"/>
      <c r="J158" s="66"/>
      <c r="K158" s="67"/>
      <c r="L158" s="72"/>
      <c r="M158" s="67"/>
      <c r="N158" s="67"/>
      <c r="O158" s="67"/>
      <c r="P158" s="67"/>
      <c r="Q158" s="67"/>
      <c r="R158" s="67"/>
      <c r="S158" s="67"/>
      <c r="T158" s="67"/>
      <c r="U158" s="67"/>
      <c r="V158" s="4"/>
      <c r="W158" s="4"/>
      <c r="X158" s="4"/>
      <c r="Y158" s="5"/>
      <c r="Z158" s="5"/>
      <c r="AA158" s="80"/>
      <c r="AB158" s="80"/>
      <c r="AC158" s="80"/>
      <c r="AD158" s="80"/>
      <c r="AE158" s="80"/>
      <c r="AF158" s="80"/>
      <c r="AG158" s="80"/>
      <c r="AH158" s="80"/>
      <c r="AI158" s="6"/>
      <c r="AJ158" s="6"/>
      <c r="AK158" s="83"/>
      <c r="AL158" s="6"/>
      <c r="AM158" s="6"/>
      <c r="AN158" s="6"/>
      <c r="AO158" s="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</row>
    <row r="159" spans="7:51" s="8" customFormat="1" ht="12.75" x14ac:dyDescent="0.2">
      <c r="G159" s="1"/>
      <c r="H159" s="2"/>
      <c r="I159" s="1"/>
      <c r="J159" s="66"/>
      <c r="K159" s="67"/>
      <c r="L159" s="72"/>
      <c r="M159" s="67"/>
      <c r="N159" s="67"/>
      <c r="O159" s="67"/>
      <c r="P159" s="67"/>
      <c r="Q159" s="67"/>
      <c r="R159" s="67"/>
      <c r="S159" s="67"/>
      <c r="T159" s="67"/>
      <c r="U159" s="67"/>
      <c r="V159" s="4"/>
      <c r="W159" s="4"/>
      <c r="X159" s="4"/>
      <c r="Y159" s="5"/>
      <c r="Z159" s="5"/>
      <c r="AA159" s="80"/>
      <c r="AB159" s="80"/>
      <c r="AC159" s="80"/>
      <c r="AD159" s="80"/>
      <c r="AE159" s="80"/>
      <c r="AF159" s="80"/>
      <c r="AG159" s="80"/>
      <c r="AH159" s="80"/>
      <c r="AI159" s="6"/>
      <c r="AJ159" s="6"/>
      <c r="AK159" s="83"/>
      <c r="AL159" s="6"/>
      <c r="AM159" s="6"/>
      <c r="AN159" s="6"/>
      <c r="AO159" s="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</row>
    <row r="160" spans="7:51" s="8" customFormat="1" ht="12.75" x14ac:dyDescent="0.2">
      <c r="G160" s="1"/>
      <c r="H160" s="2"/>
      <c r="I160" s="1"/>
      <c r="J160" s="66"/>
      <c r="K160" s="67"/>
      <c r="L160" s="72"/>
      <c r="M160" s="67"/>
      <c r="N160" s="67"/>
      <c r="O160" s="67"/>
      <c r="P160" s="67"/>
      <c r="Q160" s="67"/>
      <c r="R160" s="67"/>
      <c r="S160" s="67"/>
      <c r="T160" s="67"/>
      <c r="U160" s="67"/>
      <c r="V160" s="4"/>
      <c r="W160" s="4"/>
      <c r="X160" s="4"/>
      <c r="Y160" s="5"/>
      <c r="Z160" s="5"/>
      <c r="AA160" s="80"/>
      <c r="AB160" s="80"/>
      <c r="AC160" s="80"/>
      <c r="AD160" s="80"/>
      <c r="AE160" s="80"/>
      <c r="AF160" s="80"/>
      <c r="AG160" s="80"/>
      <c r="AH160" s="80"/>
      <c r="AI160" s="6"/>
      <c r="AJ160" s="6"/>
      <c r="AK160" s="83"/>
      <c r="AL160" s="6"/>
      <c r="AM160" s="6"/>
      <c r="AN160" s="6"/>
      <c r="AO160" s="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</row>
    <row r="161" spans="7:51" s="8" customFormat="1" ht="12.75" x14ac:dyDescent="0.2">
      <c r="G161" s="1"/>
      <c r="H161" s="2"/>
      <c r="I161" s="1"/>
      <c r="J161" s="66"/>
      <c r="K161" s="67"/>
      <c r="L161" s="72"/>
      <c r="M161" s="67"/>
      <c r="N161" s="67"/>
      <c r="O161" s="67"/>
      <c r="P161" s="67"/>
      <c r="Q161" s="67"/>
      <c r="R161" s="67"/>
      <c r="S161" s="67"/>
      <c r="T161" s="67"/>
      <c r="U161" s="67"/>
      <c r="V161" s="4"/>
      <c r="W161" s="4"/>
      <c r="X161" s="4"/>
      <c r="Y161" s="5"/>
      <c r="Z161" s="5"/>
      <c r="AA161" s="80"/>
      <c r="AB161" s="80"/>
      <c r="AC161" s="80"/>
      <c r="AD161" s="80"/>
      <c r="AE161" s="80"/>
      <c r="AF161" s="80"/>
      <c r="AG161" s="80"/>
      <c r="AH161" s="80"/>
      <c r="AI161" s="6"/>
      <c r="AJ161" s="6"/>
      <c r="AK161" s="83"/>
      <c r="AL161" s="6"/>
      <c r="AM161" s="6"/>
      <c r="AN161" s="6"/>
      <c r="AO161" s="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</row>
    <row r="162" spans="7:51" s="8" customFormat="1" ht="12.75" x14ac:dyDescent="0.2">
      <c r="G162" s="1"/>
      <c r="H162" s="2"/>
      <c r="I162" s="1"/>
      <c r="J162" s="66"/>
      <c r="K162" s="67"/>
      <c r="L162" s="72"/>
      <c r="M162" s="67"/>
      <c r="N162" s="67"/>
      <c r="O162" s="67"/>
      <c r="P162" s="67"/>
      <c r="Q162" s="67"/>
      <c r="R162" s="67"/>
      <c r="S162" s="67"/>
      <c r="T162" s="67"/>
      <c r="U162" s="67"/>
      <c r="V162" s="4"/>
      <c r="W162" s="4"/>
      <c r="X162" s="4"/>
      <c r="Y162" s="5"/>
      <c r="Z162" s="5"/>
      <c r="AA162" s="80"/>
      <c r="AB162" s="80"/>
      <c r="AC162" s="80"/>
      <c r="AD162" s="80"/>
      <c r="AE162" s="80"/>
      <c r="AF162" s="80"/>
      <c r="AG162" s="80"/>
      <c r="AH162" s="80"/>
      <c r="AI162" s="6"/>
      <c r="AJ162" s="6"/>
      <c r="AK162" s="83"/>
      <c r="AL162" s="6"/>
      <c r="AM162" s="6"/>
      <c r="AN162" s="6"/>
      <c r="AO162" s="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</row>
    <row r="163" spans="7:51" s="8" customFormat="1" ht="12.75" x14ac:dyDescent="0.2">
      <c r="G163" s="1"/>
      <c r="H163" s="2"/>
      <c r="I163" s="1"/>
      <c r="J163" s="66"/>
      <c r="K163" s="67"/>
      <c r="L163" s="72"/>
      <c r="M163" s="67"/>
      <c r="N163" s="67"/>
      <c r="O163" s="67"/>
      <c r="P163" s="67"/>
      <c r="Q163" s="67"/>
      <c r="R163" s="67"/>
      <c r="S163" s="67"/>
      <c r="T163" s="67"/>
      <c r="U163" s="67"/>
      <c r="V163" s="4"/>
      <c r="W163" s="4"/>
      <c r="X163" s="4"/>
      <c r="Y163" s="5"/>
      <c r="Z163" s="5"/>
      <c r="AA163" s="80"/>
      <c r="AB163" s="80"/>
      <c r="AC163" s="80"/>
      <c r="AD163" s="80"/>
      <c r="AE163" s="80"/>
      <c r="AF163" s="80"/>
      <c r="AG163" s="80"/>
      <c r="AH163" s="80"/>
      <c r="AI163" s="6"/>
      <c r="AJ163" s="6"/>
      <c r="AK163" s="83"/>
      <c r="AL163" s="6"/>
      <c r="AM163" s="6"/>
      <c r="AN163" s="6"/>
      <c r="AO163" s="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</row>
    <row r="164" spans="7:51" s="8" customFormat="1" ht="12.75" x14ac:dyDescent="0.2">
      <c r="G164" s="1"/>
      <c r="H164" s="2"/>
      <c r="I164" s="1"/>
      <c r="J164" s="66"/>
      <c r="K164" s="67"/>
      <c r="L164" s="72"/>
      <c r="M164" s="67"/>
      <c r="N164" s="67"/>
      <c r="O164" s="67"/>
      <c r="P164" s="67"/>
      <c r="Q164" s="67"/>
      <c r="R164" s="67"/>
      <c r="S164" s="67"/>
      <c r="T164" s="67"/>
      <c r="U164" s="67"/>
      <c r="V164" s="4"/>
      <c r="W164" s="4"/>
      <c r="X164" s="4"/>
      <c r="Y164" s="5"/>
      <c r="Z164" s="5"/>
      <c r="AA164" s="80"/>
      <c r="AB164" s="80"/>
      <c r="AC164" s="80"/>
      <c r="AD164" s="80"/>
      <c r="AE164" s="80"/>
      <c r="AF164" s="80"/>
      <c r="AG164" s="80"/>
      <c r="AH164" s="80"/>
      <c r="AI164" s="6"/>
      <c r="AJ164" s="6"/>
      <c r="AK164" s="83"/>
      <c r="AL164" s="6"/>
      <c r="AM164" s="6"/>
      <c r="AN164" s="6"/>
      <c r="AO164" s="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</row>
    <row r="165" spans="7:51" s="8" customFormat="1" ht="12.75" x14ac:dyDescent="0.2">
      <c r="G165" s="1"/>
      <c r="H165" s="2"/>
      <c r="I165" s="1"/>
      <c r="J165" s="66"/>
      <c r="K165" s="67"/>
      <c r="L165" s="72"/>
      <c r="M165" s="67"/>
      <c r="N165" s="67"/>
      <c r="O165" s="67"/>
      <c r="P165" s="67"/>
      <c r="Q165" s="67"/>
      <c r="R165" s="67"/>
      <c r="S165" s="67"/>
      <c r="T165" s="67"/>
      <c r="U165" s="67"/>
      <c r="V165" s="4"/>
      <c r="W165" s="4"/>
      <c r="X165" s="4"/>
      <c r="Y165" s="5"/>
      <c r="Z165" s="5"/>
      <c r="AA165" s="80"/>
      <c r="AB165" s="80"/>
      <c r="AC165" s="80"/>
      <c r="AD165" s="80"/>
      <c r="AE165" s="80"/>
      <c r="AF165" s="80"/>
      <c r="AG165" s="80"/>
      <c r="AH165" s="80"/>
      <c r="AI165" s="6"/>
      <c r="AJ165" s="6"/>
      <c r="AK165" s="83"/>
      <c r="AL165" s="6"/>
      <c r="AM165" s="6"/>
      <c r="AN165" s="6"/>
      <c r="AO165" s="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</row>
    <row r="166" spans="7:51" s="8" customFormat="1" ht="12.75" x14ac:dyDescent="0.2">
      <c r="G166" s="1"/>
      <c r="H166" s="2"/>
      <c r="I166" s="1"/>
      <c r="J166" s="66"/>
      <c r="K166" s="67"/>
      <c r="L166" s="72"/>
      <c r="M166" s="67"/>
      <c r="N166" s="67"/>
      <c r="O166" s="67"/>
      <c r="P166" s="67"/>
      <c r="Q166" s="67"/>
      <c r="R166" s="67"/>
      <c r="S166" s="67"/>
      <c r="T166" s="67"/>
      <c r="U166" s="67"/>
      <c r="V166" s="4"/>
      <c r="W166" s="4"/>
      <c r="X166" s="4"/>
      <c r="Y166" s="5"/>
      <c r="Z166" s="5"/>
      <c r="AA166" s="80"/>
      <c r="AB166" s="80"/>
      <c r="AC166" s="80"/>
      <c r="AD166" s="80"/>
      <c r="AE166" s="80"/>
      <c r="AF166" s="80"/>
      <c r="AG166" s="80"/>
      <c r="AH166" s="80"/>
      <c r="AI166" s="6"/>
      <c r="AJ166" s="6"/>
      <c r="AK166" s="83"/>
      <c r="AL166" s="6"/>
      <c r="AM166" s="6"/>
      <c r="AN166" s="6"/>
      <c r="AO166" s="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</row>
    <row r="167" spans="7:51" s="8" customFormat="1" ht="12.75" x14ac:dyDescent="0.2">
      <c r="G167" s="1"/>
      <c r="H167" s="2"/>
      <c r="I167" s="1"/>
      <c r="J167" s="66"/>
      <c r="K167" s="67"/>
      <c r="L167" s="72"/>
      <c r="M167" s="67"/>
      <c r="N167" s="67"/>
      <c r="O167" s="67"/>
      <c r="P167" s="67"/>
      <c r="Q167" s="67"/>
      <c r="R167" s="67"/>
      <c r="S167" s="67"/>
      <c r="T167" s="67"/>
      <c r="U167" s="67"/>
      <c r="V167" s="4"/>
      <c r="W167" s="4"/>
      <c r="X167" s="4"/>
      <c r="Y167" s="5"/>
      <c r="Z167" s="5"/>
      <c r="AA167" s="80"/>
      <c r="AB167" s="80"/>
      <c r="AC167" s="80"/>
      <c r="AD167" s="80"/>
      <c r="AE167" s="80"/>
      <c r="AF167" s="80"/>
      <c r="AG167" s="80"/>
      <c r="AH167" s="80"/>
      <c r="AI167" s="6"/>
      <c r="AJ167" s="6"/>
      <c r="AK167" s="83"/>
      <c r="AL167" s="6"/>
      <c r="AM167" s="6"/>
      <c r="AN167" s="6"/>
      <c r="AO167" s="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</row>
    <row r="168" spans="7:51" s="8" customFormat="1" ht="12.75" x14ac:dyDescent="0.2">
      <c r="G168" s="1"/>
      <c r="H168" s="2"/>
      <c r="I168" s="1"/>
      <c r="J168" s="66"/>
      <c r="K168" s="67"/>
      <c r="L168" s="72"/>
      <c r="M168" s="67"/>
      <c r="N168" s="67"/>
      <c r="O168" s="67"/>
      <c r="P168" s="67"/>
      <c r="Q168" s="67"/>
      <c r="R168" s="67"/>
      <c r="S168" s="67"/>
      <c r="T168" s="67"/>
      <c r="U168" s="67"/>
      <c r="V168" s="4"/>
      <c r="W168" s="4"/>
      <c r="X168" s="4"/>
      <c r="Y168" s="5"/>
      <c r="Z168" s="5"/>
      <c r="AA168" s="80"/>
      <c r="AB168" s="80"/>
      <c r="AC168" s="80"/>
      <c r="AD168" s="80"/>
      <c r="AE168" s="80"/>
      <c r="AF168" s="80"/>
      <c r="AG168" s="80"/>
      <c r="AH168" s="80"/>
      <c r="AI168" s="6"/>
      <c r="AJ168" s="6"/>
      <c r="AK168" s="83"/>
      <c r="AL168" s="6"/>
      <c r="AM168" s="6"/>
      <c r="AN168" s="6"/>
      <c r="AO168" s="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</row>
    <row r="169" spans="7:51" s="8" customFormat="1" ht="12.75" x14ac:dyDescent="0.2">
      <c r="G169" s="1"/>
      <c r="H169" s="2"/>
      <c r="I169" s="1"/>
      <c r="J169" s="66"/>
      <c r="K169" s="67"/>
      <c r="L169" s="72"/>
      <c r="M169" s="67"/>
      <c r="N169" s="67"/>
      <c r="O169" s="67"/>
      <c r="P169" s="67"/>
      <c r="Q169" s="67"/>
      <c r="R169" s="67"/>
      <c r="S169" s="67"/>
      <c r="T169" s="67"/>
      <c r="U169" s="67"/>
      <c r="V169" s="4"/>
      <c r="W169" s="4"/>
      <c r="X169" s="4"/>
      <c r="Y169" s="5"/>
      <c r="Z169" s="5"/>
      <c r="AA169" s="80"/>
      <c r="AB169" s="80"/>
      <c r="AC169" s="80"/>
      <c r="AD169" s="80"/>
      <c r="AE169" s="80"/>
      <c r="AF169" s="80"/>
      <c r="AG169" s="80"/>
      <c r="AH169" s="80"/>
      <c r="AI169" s="6"/>
      <c r="AJ169" s="6"/>
      <c r="AK169" s="83"/>
      <c r="AL169" s="6"/>
      <c r="AM169" s="6"/>
      <c r="AN169" s="6"/>
      <c r="AO169" s="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</row>
    <row r="170" spans="7:51" s="8" customFormat="1" ht="12.75" x14ac:dyDescent="0.2">
      <c r="G170" s="1"/>
      <c r="H170" s="2"/>
      <c r="I170" s="1"/>
      <c r="J170" s="66"/>
      <c r="K170" s="67"/>
      <c r="L170" s="72"/>
      <c r="M170" s="67"/>
      <c r="N170" s="67"/>
      <c r="O170" s="67"/>
      <c r="P170" s="67"/>
      <c r="Q170" s="67"/>
      <c r="R170" s="67"/>
      <c r="S170" s="67"/>
      <c r="T170" s="67"/>
      <c r="U170" s="67"/>
      <c r="V170" s="4"/>
      <c r="W170" s="4"/>
      <c r="X170" s="4"/>
      <c r="Y170" s="5"/>
      <c r="Z170" s="5"/>
      <c r="AA170" s="80"/>
      <c r="AB170" s="80"/>
      <c r="AC170" s="80"/>
      <c r="AD170" s="80"/>
      <c r="AE170" s="80"/>
      <c r="AF170" s="80"/>
      <c r="AG170" s="80"/>
      <c r="AH170" s="80"/>
      <c r="AI170" s="6"/>
      <c r="AJ170" s="6"/>
      <c r="AK170" s="83"/>
      <c r="AL170" s="6"/>
      <c r="AM170" s="6"/>
      <c r="AN170" s="6"/>
      <c r="AO170" s="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</row>
    <row r="171" spans="7:51" s="8" customFormat="1" ht="12.75" x14ac:dyDescent="0.2">
      <c r="G171" s="1"/>
      <c r="H171" s="2"/>
      <c r="I171" s="1"/>
      <c r="J171" s="66"/>
      <c r="K171" s="67"/>
      <c r="L171" s="72"/>
      <c r="M171" s="67"/>
      <c r="N171" s="67"/>
      <c r="O171" s="67"/>
      <c r="P171" s="67"/>
      <c r="Q171" s="67"/>
      <c r="R171" s="67"/>
      <c r="S171" s="67"/>
      <c r="T171" s="67"/>
      <c r="U171" s="67"/>
      <c r="V171" s="4"/>
      <c r="W171" s="4"/>
      <c r="X171" s="4"/>
      <c r="Y171" s="5"/>
      <c r="Z171" s="5"/>
      <c r="AA171" s="80"/>
      <c r="AB171" s="80"/>
      <c r="AC171" s="80"/>
      <c r="AD171" s="80"/>
      <c r="AE171" s="80"/>
      <c r="AF171" s="80"/>
      <c r="AG171" s="80"/>
      <c r="AH171" s="80"/>
      <c r="AI171" s="6"/>
      <c r="AJ171" s="6"/>
      <c r="AK171" s="83"/>
      <c r="AL171" s="6"/>
      <c r="AM171" s="6"/>
      <c r="AN171" s="6"/>
      <c r="AO171" s="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</row>
    <row r="172" spans="7:51" s="8" customFormat="1" ht="12.75" x14ac:dyDescent="0.2">
      <c r="G172" s="1"/>
      <c r="H172" s="2"/>
      <c r="I172" s="1"/>
      <c r="J172" s="66"/>
      <c r="K172" s="67"/>
      <c r="L172" s="72"/>
      <c r="M172" s="67"/>
      <c r="N172" s="67"/>
      <c r="O172" s="67"/>
      <c r="P172" s="67"/>
      <c r="Q172" s="67"/>
      <c r="R172" s="67"/>
      <c r="S172" s="67"/>
      <c r="T172" s="67"/>
      <c r="U172" s="67"/>
      <c r="V172" s="4"/>
      <c r="W172" s="4"/>
      <c r="X172" s="4"/>
      <c r="Y172" s="5"/>
      <c r="Z172" s="5"/>
      <c r="AA172" s="80"/>
      <c r="AB172" s="80"/>
      <c r="AC172" s="80"/>
      <c r="AD172" s="80"/>
      <c r="AE172" s="80"/>
      <c r="AF172" s="80"/>
      <c r="AG172" s="80"/>
      <c r="AH172" s="80"/>
      <c r="AI172" s="6"/>
      <c r="AJ172" s="6"/>
      <c r="AK172" s="83"/>
      <c r="AL172" s="6"/>
      <c r="AM172" s="6"/>
      <c r="AN172" s="6"/>
      <c r="AO172" s="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</row>
    <row r="173" spans="7:51" s="8" customFormat="1" ht="12.75" x14ac:dyDescent="0.2">
      <c r="G173" s="1"/>
      <c r="H173" s="2"/>
      <c r="I173" s="1"/>
      <c r="J173" s="66"/>
      <c r="K173" s="67"/>
      <c r="L173" s="72"/>
      <c r="M173" s="67"/>
      <c r="N173" s="67"/>
      <c r="O173" s="67"/>
      <c r="P173" s="67"/>
      <c r="Q173" s="67"/>
      <c r="R173" s="67"/>
      <c r="S173" s="67"/>
      <c r="T173" s="67"/>
      <c r="U173" s="67"/>
      <c r="V173" s="4"/>
      <c r="W173" s="4"/>
      <c r="X173" s="4"/>
      <c r="Y173" s="5"/>
      <c r="Z173" s="5"/>
      <c r="AA173" s="80"/>
      <c r="AB173" s="80"/>
      <c r="AC173" s="80"/>
      <c r="AD173" s="80"/>
      <c r="AE173" s="80"/>
      <c r="AF173" s="80"/>
      <c r="AG173" s="80"/>
      <c r="AH173" s="80"/>
      <c r="AI173" s="6"/>
      <c r="AJ173" s="6"/>
      <c r="AK173" s="83"/>
      <c r="AL173" s="6"/>
      <c r="AM173" s="6"/>
      <c r="AN173" s="6"/>
      <c r="AO173" s="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</row>
    <row r="174" spans="7:51" s="8" customFormat="1" ht="12.75" x14ac:dyDescent="0.2">
      <c r="G174" s="1"/>
      <c r="H174" s="2"/>
      <c r="I174" s="1"/>
      <c r="J174" s="66"/>
      <c r="K174" s="67"/>
      <c r="L174" s="72"/>
      <c r="M174" s="67"/>
      <c r="N174" s="67"/>
      <c r="O174" s="67"/>
      <c r="P174" s="67"/>
      <c r="Q174" s="67"/>
      <c r="R174" s="67"/>
      <c r="S174" s="67"/>
      <c r="T174" s="67"/>
      <c r="U174" s="67"/>
      <c r="V174" s="4"/>
      <c r="W174" s="4"/>
      <c r="X174" s="4"/>
      <c r="Y174" s="5"/>
      <c r="Z174" s="5"/>
      <c r="AA174" s="80"/>
      <c r="AB174" s="80"/>
      <c r="AC174" s="80"/>
      <c r="AD174" s="80"/>
      <c r="AE174" s="80"/>
      <c r="AF174" s="80"/>
      <c r="AG174" s="80"/>
      <c r="AH174" s="80"/>
      <c r="AI174" s="6"/>
      <c r="AJ174" s="6"/>
      <c r="AK174" s="83"/>
      <c r="AL174" s="6"/>
      <c r="AM174" s="6"/>
      <c r="AN174" s="6"/>
      <c r="AO174" s="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</row>
    <row r="175" spans="7:51" s="8" customFormat="1" ht="12.75" x14ac:dyDescent="0.2">
      <c r="G175" s="1"/>
      <c r="H175" s="2"/>
      <c r="I175" s="1"/>
      <c r="J175" s="66"/>
      <c r="K175" s="67"/>
      <c r="L175" s="72"/>
      <c r="M175" s="67"/>
      <c r="N175" s="67"/>
      <c r="O175" s="67"/>
      <c r="P175" s="67"/>
      <c r="Q175" s="67"/>
      <c r="R175" s="67"/>
      <c r="S175" s="67"/>
      <c r="T175" s="67"/>
      <c r="U175" s="67"/>
      <c r="V175" s="4"/>
      <c r="W175" s="4"/>
      <c r="X175" s="4"/>
      <c r="Y175" s="5"/>
      <c r="Z175" s="5"/>
      <c r="AA175" s="80"/>
      <c r="AB175" s="80"/>
      <c r="AC175" s="80"/>
      <c r="AD175" s="80"/>
      <c r="AE175" s="80"/>
      <c r="AF175" s="80"/>
      <c r="AG175" s="80"/>
      <c r="AH175" s="80"/>
      <c r="AI175" s="6"/>
      <c r="AJ175" s="6"/>
      <c r="AK175" s="83"/>
      <c r="AL175" s="6"/>
      <c r="AM175" s="6"/>
      <c r="AN175" s="6"/>
      <c r="AO175" s="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</row>
    <row r="176" spans="7:51" s="8" customFormat="1" ht="12.75" x14ac:dyDescent="0.2">
      <c r="G176" s="1"/>
      <c r="H176" s="2"/>
      <c r="I176" s="1"/>
      <c r="J176" s="66"/>
      <c r="K176" s="67"/>
      <c r="L176" s="72"/>
      <c r="M176" s="67"/>
      <c r="N176" s="67"/>
      <c r="O176" s="67"/>
      <c r="P176" s="67"/>
      <c r="Q176" s="67"/>
      <c r="R176" s="67"/>
      <c r="S176" s="67"/>
      <c r="T176" s="67"/>
      <c r="U176" s="67"/>
      <c r="V176" s="4"/>
      <c r="W176" s="4"/>
      <c r="X176" s="4"/>
      <c r="Y176" s="5"/>
      <c r="Z176" s="5"/>
      <c r="AA176" s="80"/>
      <c r="AB176" s="80"/>
      <c r="AC176" s="80"/>
      <c r="AD176" s="80"/>
      <c r="AE176" s="80"/>
      <c r="AF176" s="80"/>
      <c r="AG176" s="80"/>
      <c r="AH176" s="80"/>
      <c r="AI176" s="6"/>
      <c r="AJ176" s="6"/>
      <c r="AK176" s="83"/>
      <c r="AL176" s="6"/>
      <c r="AM176" s="6"/>
      <c r="AN176" s="6"/>
      <c r="AO176" s="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</row>
    <row r="177" spans="7:51" s="8" customFormat="1" ht="12.75" x14ac:dyDescent="0.2">
      <c r="G177" s="1"/>
      <c r="H177" s="2"/>
      <c r="I177" s="1"/>
      <c r="J177" s="66"/>
      <c r="K177" s="67"/>
      <c r="L177" s="72"/>
      <c r="M177" s="67"/>
      <c r="N177" s="67"/>
      <c r="O177" s="67"/>
      <c r="P177" s="67"/>
      <c r="Q177" s="67"/>
      <c r="R177" s="67"/>
      <c r="S177" s="67"/>
      <c r="T177" s="67"/>
      <c r="U177" s="67"/>
      <c r="V177" s="4"/>
      <c r="W177" s="4"/>
      <c r="X177" s="4"/>
      <c r="Y177" s="5"/>
      <c r="Z177" s="5"/>
      <c r="AA177" s="80"/>
      <c r="AB177" s="80"/>
      <c r="AC177" s="80"/>
      <c r="AD177" s="80"/>
      <c r="AE177" s="80"/>
      <c r="AF177" s="80"/>
      <c r="AG177" s="80"/>
      <c r="AH177" s="80"/>
      <c r="AI177" s="6"/>
      <c r="AJ177" s="6"/>
      <c r="AK177" s="83"/>
      <c r="AL177" s="6"/>
      <c r="AM177" s="6"/>
      <c r="AN177" s="6"/>
      <c r="AO177" s="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</row>
    <row r="178" spans="7:51" s="8" customFormat="1" ht="12.75" x14ac:dyDescent="0.2">
      <c r="G178" s="1"/>
      <c r="H178" s="2"/>
      <c r="I178" s="1"/>
      <c r="J178" s="66"/>
      <c r="K178" s="67"/>
      <c r="L178" s="72"/>
      <c r="M178" s="67"/>
      <c r="N178" s="67"/>
      <c r="O178" s="67"/>
      <c r="P178" s="67"/>
      <c r="Q178" s="67"/>
      <c r="R178" s="67"/>
      <c r="S178" s="67"/>
      <c r="T178" s="67"/>
      <c r="U178" s="67"/>
      <c r="V178" s="4"/>
      <c r="W178" s="4"/>
      <c r="X178" s="4"/>
      <c r="Y178" s="5"/>
      <c r="Z178" s="5"/>
      <c r="AA178" s="80"/>
      <c r="AB178" s="80"/>
      <c r="AC178" s="80"/>
      <c r="AD178" s="80"/>
      <c r="AE178" s="80"/>
      <c r="AF178" s="80"/>
      <c r="AG178" s="80"/>
      <c r="AH178" s="80"/>
      <c r="AI178" s="6"/>
      <c r="AJ178" s="6"/>
      <c r="AK178" s="83"/>
      <c r="AL178" s="6"/>
      <c r="AM178" s="6"/>
      <c r="AN178" s="6"/>
      <c r="AO178" s="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</row>
    <row r="179" spans="7:51" s="8" customFormat="1" ht="12.75" x14ac:dyDescent="0.2">
      <c r="G179" s="1"/>
      <c r="H179" s="2"/>
      <c r="I179" s="1"/>
      <c r="J179" s="66"/>
      <c r="K179" s="67"/>
      <c r="L179" s="72"/>
      <c r="M179" s="67"/>
      <c r="N179" s="67"/>
      <c r="O179" s="67"/>
      <c r="P179" s="67"/>
      <c r="Q179" s="67"/>
      <c r="R179" s="67"/>
      <c r="S179" s="67"/>
      <c r="T179" s="67"/>
      <c r="U179" s="67"/>
      <c r="V179" s="4"/>
      <c r="W179" s="4"/>
      <c r="X179" s="4"/>
      <c r="Y179" s="5"/>
      <c r="Z179" s="5"/>
      <c r="AA179" s="80"/>
      <c r="AB179" s="80"/>
      <c r="AC179" s="80"/>
      <c r="AD179" s="80"/>
      <c r="AE179" s="80"/>
      <c r="AF179" s="80"/>
      <c r="AG179" s="80"/>
      <c r="AH179" s="80"/>
      <c r="AI179" s="6"/>
      <c r="AJ179" s="6"/>
      <c r="AK179" s="83"/>
      <c r="AL179" s="6"/>
      <c r="AM179" s="6"/>
      <c r="AN179" s="6"/>
      <c r="AO179" s="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</row>
    <row r="180" spans="7:51" s="8" customFormat="1" ht="12.75" x14ac:dyDescent="0.2">
      <c r="G180" s="1"/>
      <c r="H180" s="2"/>
      <c r="I180" s="1"/>
      <c r="J180" s="66"/>
      <c r="K180" s="67"/>
      <c r="L180" s="72"/>
      <c r="M180" s="67"/>
      <c r="N180" s="67"/>
      <c r="O180" s="67"/>
      <c r="P180" s="67"/>
      <c r="Q180" s="67"/>
      <c r="R180" s="67"/>
      <c r="S180" s="67"/>
      <c r="T180" s="67"/>
      <c r="U180" s="67"/>
      <c r="V180" s="4"/>
      <c r="W180" s="4"/>
      <c r="X180" s="4"/>
      <c r="Y180" s="5"/>
      <c r="Z180" s="5"/>
      <c r="AA180" s="80"/>
      <c r="AB180" s="80"/>
      <c r="AC180" s="80"/>
      <c r="AD180" s="80"/>
      <c r="AE180" s="80"/>
      <c r="AF180" s="80"/>
      <c r="AG180" s="80"/>
      <c r="AH180" s="80"/>
      <c r="AI180" s="6"/>
      <c r="AJ180" s="6"/>
      <c r="AK180" s="83"/>
      <c r="AL180" s="6"/>
      <c r="AM180" s="6"/>
      <c r="AN180" s="6"/>
      <c r="AO180" s="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</row>
    <row r="181" spans="7:51" s="8" customFormat="1" ht="12.75" x14ac:dyDescent="0.2">
      <c r="G181" s="1"/>
      <c r="H181" s="2"/>
      <c r="I181" s="1"/>
      <c r="J181" s="66"/>
      <c r="K181" s="67"/>
      <c r="L181" s="72"/>
      <c r="M181" s="67"/>
      <c r="N181" s="67"/>
      <c r="O181" s="67"/>
      <c r="P181" s="67"/>
      <c r="Q181" s="67"/>
      <c r="R181" s="67"/>
      <c r="S181" s="67"/>
      <c r="T181" s="67"/>
      <c r="U181" s="67"/>
      <c r="V181" s="4"/>
      <c r="W181" s="4"/>
      <c r="X181" s="4"/>
      <c r="Y181" s="5"/>
      <c r="Z181" s="5"/>
      <c r="AA181" s="80"/>
      <c r="AB181" s="80"/>
      <c r="AC181" s="80"/>
      <c r="AD181" s="80"/>
      <c r="AE181" s="80"/>
      <c r="AF181" s="80"/>
      <c r="AG181" s="80"/>
      <c r="AH181" s="80"/>
      <c r="AI181" s="6"/>
      <c r="AJ181" s="6"/>
      <c r="AK181" s="83"/>
      <c r="AL181" s="6"/>
      <c r="AM181" s="6"/>
      <c r="AN181" s="6"/>
      <c r="AO181" s="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</row>
    <row r="182" spans="7:51" s="8" customFormat="1" ht="12.75" x14ac:dyDescent="0.2">
      <c r="G182" s="1"/>
      <c r="H182" s="2"/>
      <c r="I182" s="1"/>
      <c r="J182" s="66"/>
      <c r="K182" s="67"/>
      <c r="L182" s="72"/>
      <c r="M182" s="67"/>
      <c r="N182" s="67"/>
      <c r="O182" s="67"/>
      <c r="P182" s="67"/>
      <c r="Q182" s="67"/>
      <c r="R182" s="67"/>
      <c r="S182" s="67"/>
      <c r="T182" s="67"/>
      <c r="U182" s="67"/>
      <c r="V182" s="4"/>
      <c r="W182" s="4"/>
      <c r="X182" s="4"/>
      <c r="Y182" s="5"/>
      <c r="Z182" s="5"/>
      <c r="AA182" s="80"/>
      <c r="AB182" s="80"/>
      <c r="AC182" s="80"/>
      <c r="AD182" s="80"/>
      <c r="AE182" s="80"/>
      <c r="AF182" s="80"/>
      <c r="AG182" s="80"/>
      <c r="AH182" s="80"/>
      <c r="AI182" s="6"/>
      <c r="AJ182" s="6"/>
      <c r="AK182" s="83"/>
      <c r="AL182" s="6"/>
      <c r="AM182" s="6"/>
      <c r="AN182" s="6"/>
      <c r="AO182" s="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</row>
    <row r="183" spans="7:51" s="8" customFormat="1" ht="12.75" x14ac:dyDescent="0.2">
      <c r="G183" s="1"/>
      <c r="H183" s="2"/>
      <c r="I183" s="1"/>
      <c r="J183" s="66"/>
      <c r="K183" s="67"/>
      <c r="L183" s="72"/>
      <c r="M183" s="67"/>
      <c r="N183" s="67"/>
      <c r="O183" s="67"/>
      <c r="P183" s="67"/>
      <c r="Q183" s="67"/>
      <c r="R183" s="67"/>
      <c r="S183" s="67"/>
      <c r="T183" s="67"/>
      <c r="U183" s="67"/>
      <c r="V183" s="4"/>
      <c r="W183" s="4"/>
      <c r="X183" s="4"/>
      <c r="Y183" s="5"/>
      <c r="Z183" s="5"/>
      <c r="AA183" s="80"/>
      <c r="AB183" s="80"/>
      <c r="AC183" s="80"/>
      <c r="AD183" s="80"/>
      <c r="AE183" s="80"/>
      <c r="AF183" s="80"/>
      <c r="AG183" s="80"/>
      <c r="AH183" s="80"/>
      <c r="AI183" s="6"/>
      <c r="AJ183" s="6"/>
      <c r="AK183" s="83"/>
      <c r="AL183" s="6"/>
      <c r="AM183" s="6"/>
      <c r="AN183" s="6"/>
      <c r="AO183" s="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</row>
    <row r="184" spans="7:51" s="8" customFormat="1" ht="12.75" x14ac:dyDescent="0.2">
      <c r="G184" s="1"/>
      <c r="H184" s="2"/>
      <c r="I184" s="1"/>
      <c r="J184" s="66"/>
      <c r="K184" s="67"/>
      <c r="L184" s="72"/>
      <c r="M184" s="67"/>
      <c r="N184" s="67"/>
      <c r="O184" s="67"/>
      <c r="P184" s="67"/>
      <c r="Q184" s="67"/>
      <c r="R184" s="67"/>
      <c r="S184" s="67"/>
      <c r="T184" s="67"/>
      <c r="U184" s="67"/>
      <c r="V184" s="4"/>
      <c r="W184" s="4"/>
      <c r="X184" s="4"/>
      <c r="Y184" s="5"/>
      <c r="Z184" s="5"/>
      <c r="AA184" s="80"/>
      <c r="AB184" s="80"/>
      <c r="AC184" s="80"/>
      <c r="AD184" s="80"/>
      <c r="AE184" s="80"/>
      <c r="AF184" s="80"/>
      <c r="AG184" s="80"/>
      <c r="AH184" s="80"/>
      <c r="AI184" s="6"/>
      <c r="AJ184" s="6"/>
      <c r="AK184" s="83"/>
      <c r="AL184" s="6"/>
      <c r="AM184" s="6"/>
      <c r="AN184" s="6"/>
      <c r="AO184" s="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</row>
    <row r="185" spans="7:51" s="8" customFormat="1" ht="12.75" x14ac:dyDescent="0.2">
      <c r="G185" s="1"/>
      <c r="H185" s="2"/>
      <c r="I185" s="1"/>
      <c r="J185" s="66"/>
      <c r="K185" s="67"/>
      <c r="L185" s="72"/>
      <c r="M185" s="67"/>
      <c r="N185" s="67"/>
      <c r="O185" s="67"/>
      <c r="P185" s="67"/>
      <c r="Q185" s="67"/>
      <c r="R185" s="67"/>
      <c r="S185" s="67"/>
      <c r="T185" s="67"/>
      <c r="U185" s="67"/>
      <c r="V185" s="4"/>
      <c r="W185" s="4"/>
      <c r="X185" s="4"/>
      <c r="Y185" s="5"/>
      <c r="Z185" s="5"/>
      <c r="AA185" s="80"/>
      <c r="AB185" s="80"/>
      <c r="AC185" s="80"/>
      <c r="AD185" s="80"/>
      <c r="AE185" s="80"/>
      <c r="AF185" s="80"/>
      <c r="AG185" s="80"/>
      <c r="AH185" s="80"/>
      <c r="AI185" s="6"/>
      <c r="AJ185" s="6"/>
      <c r="AK185" s="83"/>
      <c r="AL185" s="6"/>
      <c r="AM185" s="6"/>
      <c r="AN185" s="6"/>
      <c r="AO185" s="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</row>
    <row r="186" spans="7:51" s="8" customFormat="1" ht="12.75" x14ac:dyDescent="0.2">
      <c r="G186" s="1"/>
      <c r="H186" s="2"/>
      <c r="I186" s="1"/>
      <c r="J186" s="66"/>
      <c r="K186" s="67"/>
      <c r="L186" s="72"/>
      <c r="M186" s="67"/>
      <c r="N186" s="67"/>
      <c r="O186" s="67"/>
      <c r="P186" s="67"/>
      <c r="Q186" s="67"/>
      <c r="R186" s="67"/>
      <c r="S186" s="67"/>
      <c r="T186" s="67"/>
      <c r="U186" s="67"/>
      <c r="V186" s="4"/>
      <c r="W186" s="4"/>
      <c r="X186" s="4"/>
      <c r="Y186" s="5"/>
      <c r="Z186" s="5"/>
      <c r="AA186" s="80"/>
      <c r="AB186" s="80"/>
      <c r="AC186" s="80"/>
      <c r="AD186" s="80"/>
      <c r="AE186" s="80"/>
      <c r="AF186" s="80"/>
      <c r="AG186" s="80"/>
      <c r="AH186" s="80"/>
      <c r="AI186" s="6"/>
      <c r="AJ186" s="6"/>
      <c r="AK186" s="83"/>
      <c r="AL186" s="6"/>
      <c r="AM186" s="6"/>
      <c r="AN186" s="6"/>
      <c r="AO186" s="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</row>
    <row r="187" spans="7:51" s="8" customFormat="1" ht="12.75" x14ac:dyDescent="0.2">
      <c r="G187" s="1"/>
      <c r="H187" s="2"/>
      <c r="I187" s="1"/>
      <c r="J187" s="66"/>
      <c r="K187" s="67"/>
      <c r="L187" s="72"/>
      <c r="M187" s="67"/>
      <c r="N187" s="67"/>
      <c r="O187" s="67"/>
      <c r="P187" s="67"/>
      <c r="Q187" s="67"/>
      <c r="R187" s="67"/>
      <c r="S187" s="67"/>
      <c r="T187" s="67"/>
      <c r="U187" s="67"/>
      <c r="V187" s="4"/>
      <c r="W187" s="4"/>
      <c r="X187" s="4"/>
      <c r="Y187" s="5"/>
      <c r="Z187" s="5"/>
      <c r="AA187" s="80"/>
      <c r="AB187" s="80"/>
      <c r="AC187" s="80"/>
      <c r="AD187" s="80"/>
      <c r="AE187" s="80"/>
      <c r="AF187" s="80"/>
      <c r="AG187" s="80"/>
      <c r="AH187" s="80"/>
      <c r="AI187" s="6"/>
      <c r="AJ187" s="6"/>
      <c r="AK187" s="83"/>
      <c r="AL187" s="6"/>
      <c r="AM187" s="6"/>
      <c r="AN187" s="6"/>
      <c r="AO187" s="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</row>
    <row r="188" spans="7:51" s="8" customFormat="1" ht="12.75" x14ac:dyDescent="0.2">
      <c r="G188" s="1"/>
      <c r="H188" s="2"/>
      <c r="I188" s="1"/>
      <c r="J188" s="66"/>
      <c r="K188" s="67"/>
      <c r="L188" s="72"/>
      <c r="M188" s="67"/>
      <c r="N188" s="67"/>
      <c r="O188" s="67"/>
      <c r="P188" s="67"/>
      <c r="Q188" s="67"/>
      <c r="R188" s="67"/>
      <c r="S188" s="67"/>
      <c r="T188" s="67"/>
      <c r="U188" s="67"/>
      <c r="V188" s="4"/>
      <c r="W188" s="4"/>
      <c r="X188" s="4"/>
      <c r="Y188" s="5"/>
      <c r="Z188" s="5"/>
      <c r="AA188" s="80"/>
      <c r="AB188" s="80"/>
      <c r="AC188" s="80"/>
      <c r="AD188" s="80"/>
      <c r="AE188" s="80"/>
      <c r="AF188" s="80"/>
      <c r="AG188" s="80"/>
      <c r="AH188" s="80"/>
      <c r="AI188" s="6"/>
      <c r="AJ188" s="6"/>
      <c r="AK188" s="83"/>
      <c r="AL188" s="6"/>
      <c r="AM188" s="6"/>
      <c r="AN188" s="6"/>
      <c r="AO188" s="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</row>
    <row r="189" spans="7:51" s="8" customFormat="1" x14ac:dyDescent="0.25"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 s="82"/>
      <c r="AB189" s="82"/>
      <c r="AC189" s="82"/>
      <c r="AD189" s="82"/>
      <c r="AE189" s="82"/>
      <c r="AF189" s="82"/>
      <c r="AG189" s="82"/>
      <c r="AH189" s="82"/>
      <c r="AI189" s="84"/>
      <c r="AJ189" s="84"/>
      <c r="AK189" s="84"/>
      <c r="AL189" s="84"/>
      <c r="AM189" s="84"/>
      <c r="AN189" s="84"/>
      <c r="AO189" s="84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</row>
    <row r="190" spans="7:51" s="8" customFormat="1" x14ac:dyDescent="0.25"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 s="82"/>
      <c r="AB190" s="82"/>
      <c r="AC190" s="82"/>
      <c r="AD190" s="82"/>
      <c r="AE190" s="82"/>
      <c r="AF190" s="82"/>
      <c r="AG190" s="82"/>
      <c r="AH190" s="82"/>
      <c r="AI190" s="84"/>
      <c r="AJ190" s="84"/>
      <c r="AK190" s="84"/>
      <c r="AL190" s="84"/>
      <c r="AM190" s="84"/>
      <c r="AN190" s="84"/>
      <c r="AO190" s="84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</row>
    <row r="191" spans="7:51" s="8" customFormat="1" x14ac:dyDescent="0.25"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 s="82"/>
      <c r="AB191" s="82"/>
      <c r="AC191" s="82"/>
      <c r="AD191" s="82"/>
      <c r="AE191" s="82"/>
      <c r="AF191" s="82"/>
      <c r="AG191" s="82"/>
      <c r="AH191" s="82"/>
      <c r="AI191" s="84"/>
      <c r="AJ191" s="84"/>
      <c r="AK191" s="84"/>
      <c r="AL191" s="84"/>
      <c r="AM191" s="84"/>
      <c r="AN191" s="84"/>
      <c r="AO191" s="84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</row>
    <row r="192" spans="7:51" s="8" customFormat="1" x14ac:dyDescent="0.25"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 s="82"/>
      <c r="AB192" s="82"/>
      <c r="AC192" s="82"/>
      <c r="AD192" s="82"/>
      <c r="AE192" s="82"/>
      <c r="AF192" s="82"/>
      <c r="AG192" s="82"/>
      <c r="AH192" s="82"/>
      <c r="AI192" s="84"/>
      <c r="AJ192" s="84"/>
      <c r="AK192" s="84"/>
      <c r="AL192" s="84"/>
      <c r="AM192" s="84"/>
      <c r="AN192" s="84"/>
      <c r="AO192" s="84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</row>
    <row r="193" spans="7:51" s="8" customFormat="1" x14ac:dyDescent="0.25"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 s="82"/>
      <c r="AB193" s="82"/>
      <c r="AC193" s="82"/>
      <c r="AD193" s="82"/>
      <c r="AE193" s="82"/>
      <c r="AF193" s="82"/>
      <c r="AG193" s="82"/>
      <c r="AH193" s="82"/>
      <c r="AI193" s="84"/>
      <c r="AJ193" s="84"/>
      <c r="AK193" s="84"/>
      <c r="AL193" s="84"/>
      <c r="AM193" s="84"/>
      <c r="AN193" s="84"/>
      <c r="AO193" s="84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</row>
    <row r="194" spans="7:51" s="8" customFormat="1" x14ac:dyDescent="0.25"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 s="82"/>
      <c r="AB194" s="82"/>
      <c r="AC194" s="82"/>
      <c r="AD194" s="82"/>
      <c r="AE194" s="82"/>
      <c r="AF194" s="82"/>
      <c r="AG194" s="82"/>
      <c r="AH194" s="82"/>
      <c r="AI194" s="84"/>
      <c r="AJ194" s="84"/>
      <c r="AK194" s="84"/>
      <c r="AL194" s="84"/>
      <c r="AM194" s="84"/>
      <c r="AN194" s="84"/>
      <c r="AO194" s="84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</row>
    <row r="195" spans="7:51" s="8" customFormat="1" x14ac:dyDescent="0.25"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 s="82"/>
      <c r="AB195" s="82"/>
      <c r="AC195" s="82"/>
      <c r="AD195" s="82"/>
      <c r="AE195" s="82"/>
      <c r="AF195" s="82"/>
      <c r="AG195" s="82"/>
      <c r="AH195" s="82"/>
      <c r="AI195" s="84"/>
      <c r="AJ195" s="84"/>
      <c r="AK195" s="84"/>
      <c r="AL195" s="84"/>
      <c r="AM195" s="84"/>
      <c r="AN195" s="84"/>
      <c r="AO195" s="84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</row>
    <row r="196" spans="7:51" s="8" customFormat="1" x14ac:dyDescent="0.25"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 s="82"/>
      <c r="AB196" s="82"/>
      <c r="AC196" s="82"/>
      <c r="AD196" s="82"/>
      <c r="AE196" s="82"/>
      <c r="AF196" s="82"/>
      <c r="AG196" s="82"/>
      <c r="AH196" s="82"/>
      <c r="AI196" s="84"/>
      <c r="AJ196" s="84"/>
      <c r="AK196" s="84"/>
      <c r="AL196" s="84"/>
      <c r="AM196" s="84"/>
      <c r="AN196" s="84"/>
      <c r="AO196" s="84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</row>
    <row r="197" spans="7:51" s="8" customFormat="1" x14ac:dyDescent="0.25"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 s="82"/>
      <c r="AB197" s="82"/>
      <c r="AC197" s="82"/>
      <c r="AD197" s="82"/>
      <c r="AE197" s="82"/>
      <c r="AF197" s="82"/>
      <c r="AG197" s="82"/>
      <c r="AH197" s="82"/>
      <c r="AI197" s="84"/>
      <c r="AJ197" s="84"/>
      <c r="AK197" s="84"/>
      <c r="AL197" s="84"/>
      <c r="AM197" s="84"/>
      <c r="AN197" s="84"/>
      <c r="AO197" s="84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</row>
    <row r="198" spans="7:51" s="8" customFormat="1" x14ac:dyDescent="0.25"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 s="82"/>
      <c r="AB198" s="82"/>
      <c r="AC198" s="82"/>
      <c r="AD198" s="82"/>
      <c r="AE198" s="82"/>
      <c r="AF198" s="82"/>
      <c r="AG198" s="82"/>
      <c r="AH198" s="82"/>
      <c r="AI198" s="84"/>
      <c r="AJ198" s="84"/>
      <c r="AK198" s="84"/>
      <c r="AL198" s="84"/>
      <c r="AM198" s="84"/>
      <c r="AN198" s="84"/>
      <c r="AO198" s="84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</row>
    <row r="199" spans="7:51" s="8" customFormat="1" x14ac:dyDescent="0.25"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 s="82"/>
      <c r="AB199" s="82"/>
      <c r="AC199" s="82"/>
      <c r="AD199" s="82"/>
      <c r="AE199" s="82"/>
      <c r="AF199" s="82"/>
      <c r="AG199" s="82"/>
      <c r="AH199" s="82"/>
      <c r="AI199" s="84"/>
      <c r="AJ199" s="84"/>
      <c r="AK199" s="84"/>
      <c r="AL199" s="84"/>
      <c r="AM199" s="84"/>
      <c r="AN199" s="84"/>
      <c r="AO199" s="84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</row>
    <row r="200" spans="7:51" s="8" customFormat="1" x14ac:dyDescent="0.25"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 s="82"/>
      <c r="AB200" s="82"/>
      <c r="AC200" s="82"/>
      <c r="AD200" s="82"/>
      <c r="AE200" s="82"/>
      <c r="AF200" s="82"/>
      <c r="AG200" s="82"/>
      <c r="AH200" s="82"/>
      <c r="AI200" s="84"/>
      <c r="AJ200" s="84"/>
      <c r="AK200" s="84"/>
      <c r="AL200" s="84"/>
      <c r="AM200" s="84"/>
      <c r="AN200" s="84"/>
      <c r="AO200" s="84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</row>
    <row r="201" spans="7:51" s="8" customFormat="1" x14ac:dyDescent="0.25"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 s="82"/>
      <c r="AB201" s="82"/>
      <c r="AC201" s="82"/>
      <c r="AD201" s="82"/>
      <c r="AE201" s="82"/>
      <c r="AF201" s="82"/>
      <c r="AG201" s="82"/>
      <c r="AH201" s="82"/>
      <c r="AI201" s="84"/>
      <c r="AJ201" s="84"/>
      <c r="AK201" s="84"/>
      <c r="AL201" s="84"/>
      <c r="AM201" s="84"/>
      <c r="AN201" s="84"/>
      <c r="AO201" s="84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</row>
    <row r="202" spans="7:51" s="8" customFormat="1" x14ac:dyDescent="0.25"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 s="82"/>
      <c r="AB202" s="82"/>
      <c r="AC202" s="82"/>
      <c r="AD202" s="82"/>
      <c r="AE202" s="82"/>
      <c r="AF202" s="82"/>
      <c r="AG202" s="82"/>
      <c r="AH202" s="84"/>
      <c r="AI202" s="84"/>
      <c r="AJ202" s="84"/>
      <c r="AK202" s="84"/>
      <c r="AL202" s="84"/>
      <c r="AM202" s="84"/>
      <c r="AN202" s="84"/>
      <c r="AO202" s="84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</row>
    <row r="203" spans="7:51" s="8" customFormat="1" x14ac:dyDescent="0.25"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 s="82"/>
      <c r="AB203" s="82"/>
      <c r="AC203" s="82"/>
      <c r="AD203" s="82"/>
      <c r="AE203" s="82"/>
      <c r="AF203" s="82"/>
      <c r="AG203" s="82"/>
      <c r="AH203" s="84"/>
      <c r="AI203" s="84"/>
      <c r="AJ203" s="84"/>
      <c r="AK203" s="84"/>
      <c r="AL203" s="84"/>
      <c r="AM203" s="84"/>
      <c r="AN203" s="84"/>
      <c r="AO203" s="84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</row>
    <row r="204" spans="7:51" x14ac:dyDescent="0.25">
      <c r="AA204" s="82"/>
      <c r="AB204" s="82"/>
      <c r="AC204" s="82"/>
      <c r="AD204" s="82"/>
      <c r="AE204" s="82"/>
      <c r="AF204" s="82"/>
      <c r="AG204" s="82"/>
      <c r="AH204" s="84"/>
      <c r="AI204" s="84"/>
      <c r="AJ204" s="84"/>
      <c r="AK204" s="84"/>
      <c r="AL204" s="84"/>
      <c r="AM204" s="84"/>
      <c r="AN204" s="84"/>
      <c r="AO204" s="84"/>
    </row>
  </sheetData>
  <conditionalFormatting sqref="G5:AY201">
    <cfRule type="expression" dxfId="1" priority="1">
      <formula>MOD(ROW(),2)</formula>
    </cfRule>
  </conditionalFormatting>
  <conditionalFormatting sqref="AM5:AO188">
    <cfRule type="expression" dxfId="0" priority="2">
      <formula>MOD(ROW(),2)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B10A-18CA-EE44-BADA-B88595FF118E}">
  <dimension ref="A1:K18"/>
  <sheetViews>
    <sheetView showOutlineSymbols="0" showWhiteSpace="0" workbookViewId="0"/>
  </sheetViews>
  <sheetFormatPr defaultColWidth="11.42578125" defaultRowHeight="15" x14ac:dyDescent="0.25"/>
  <sheetData>
    <row r="1" spans="1:11" x14ac:dyDescent="0.25">
      <c r="A1" s="56">
        <f t="shared" ref="A1:I1" si="0">EOMONTH(B1,-3)</f>
        <v>44926</v>
      </c>
      <c r="B1" s="56">
        <f t="shared" si="0"/>
        <v>45016</v>
      </c>
      <c r="C1" s="56">
        <f t="shared" si="0"/>
        <v>45107</v>
      </c>
      <c r="D1" s="56">
        <f t="shared" si="0"/>
        <v>45199</v>
      </c>
      <c r="E1" s="56">
        <f t="shared" si="0"/>
        <v>45291</v>
      </c>
      <c r="F1" s="56">
        <f t="shared" si="0"/>
        <v>45382</v>
      </c>
      <c r="G1" s="56">
        <f t="shared" si="0"/>
        <v>45473</v>
      </c>
      <c r="H1" s="56">
        <f t="shared" si="0"/>
        <v>45565</v>
      </c>
      <c r="I1" s="56">
        <f t="shared" si="0"/>
        <v>45657</v>
      </c>
      <c r="J1" s="56">
        <f>EOMONTH(K1,-3)</f>
        <v>45747</v>
      </c>
      <c r="K1" s="56">
        <v>45838</v>
      </c>
    </row>
    <row r="2" spans="1:11" x14ac:dyDescent="0.25">
      <c r="B2">
        <f t="shared" ref="B2:J2" si="1">B1-A1</f>
        <v>90</v>
      </c>
      <c r="C2">
        <f t="shared" si="1"/>
        <v>91</v>
      </c>
      <c r="D2">
        <f t="shared" si="1"/>
        <v>92</v>
      </c>
      <c r="E2">
        <f t="shared" si="1"/>
        <v>92</v>
      </c>
      <c r="F2" s="57">
        <f t="shared" si="1"/>
        <v>91</v>
      </c>
      <c r="G2">
        <f t="shared" si="1"/>
        <v>91</v>
      </c>
      <c r="H2">
        <f t="shared" si="1"/>
        <v>92</v>
      </c>
      <c r="I2">
        <f t="shared" si="1"/>
        <v>92</v>
      </c>
      <c r="J2">
        <f t="shared" si="1"/>
        <v>90</v>
      </c>
      <c r="K2">
        <f>K1-J1</f>
        <v>91</v>
      </c>
    </row>
    <row r="5" spans="1:11" x14ac:dyDescent="0.25">
      <c r="A5" s="56">
        <f t="shared" ref="A5:I5" si="2">EOMONTH(B5,-3)</f>
        <v>44957</v>
      </c>
      <c r="B5" s="56">
        <f t="shared" si="2"/>
        <v>45046</v>
      </c>
      <c r="C5" s="56">
        <f t="shared" si="2"/>
        <v>45138</v>
      </c>
      <c r="D5" s="56">
        <f t="shared" si="2"/>
        <v>45230</v>
      </c>
      <c r="E5" s="56">
        <f t="shared" si="2"/>
        <v>45322</v>
      </c>
      <c r="F5" s="56">
        <f t="shared" si="2"/>
        <v>45412</v>
      </c>
      <c r="G5" s="56">
        <f t="shared" si="2"/>
        <v>45504</v>
      </c>
      <c r="H5" s="56">
        <f t="shared" si="2"/>
        <v>45596</v>
      </c>
      <c r="I5" s="56">
        <f t="shared" si="2"/>
        <v>45688</v>
      </c>
      <c r="J5" s="56">
        <f>EOMONTH(K5,-3)</f>
        <v>45777</v>
      </c>
      <c r="K5" s="56">
        <v>45869</v>
      </c>
    </row>
    <row r="6" spans="1:11" x14ac:dyDescent="0.25">
      <c r="B6">
        <f t="shared" ref="B6:C6" si="3">B5-A5</f>
        <v>89</v>
      </c>
      <c r="C6">
        <f t="shared" si="3"/>
        <v>92</v>
      </c>
      <c r="D6">
        <f t="shared" ref="D6" si="4">D5-C5</f>
        <v>92</v>
      </c>
      <c r="E6">
        <f t="shared" ref="E6" si="5">E5-D5</f>
        <v>92</v>
      </c>
      <c r="F6" s="57">
        <f t="shared" ref="F6" si="6">F5-E5</f>
        <v>90</v>
      </c>
      <c r="G6">
        <f t="shared" ref="G6" si="7">G5-F5</f>
        <v>92</v>
      </c>
      <c r="H6">
        <f t="shared" ref="H6" si="8">H5-G5</f>
        <v>92</v>
      </c>
      <c r="I6">
        <f t="shared" ref="I6" si="9">I5-H5</f>
        <v>92</v>
      </c>
      <c r="J6">
        <f t="shared" ref="J6" si="10">J5-I5</f>
        <v>89</v>
      </c>
      <c r="K6">
        <f>K5-J5</f>
        <v>92</v>
      </c>
    </row>
    <row r="8" spans="1:11" x14ac:dyDescent="0.25">
      <c r="A8">
        <v>725.52</v>
      </c>
    </row>
    <row r="9" spans="1:11" x14ac:dyDescent="0.25">
      <c r="A9">
        <v>827.52</v>
      </c>
    </row>
    <row r="10" spans="1:11" x14ac:dyDescent="0.25">
      <c r="A10">
        <v>883.86</v>
      </c>
    </row>
    <row r="11" spans="1:11" x14ac:dyDescent="0.25">
      <c r="A11">
        <v>1000</v>
      </c>
      <c r="B11">
        <f>SUM(A8:A11)</f>
        <v>3436.9</v>
      </c>
    </row>
    <row r="12" spans="1:11" x14ac:dyDescent="0.25">
      <c r="A12">
        <v>1090</v>
      </c>
    </row>
    <row r="13" spans="1:11" x14ac:dyDescent="0.25">
      <c r="A13">
        <v>1190</v>
      </c>
    </row>
    <row r="14" spans="1:11" x14ac:dyDescent="0.25">
      <c r="A14">
        <v>1230</v>
      </c>
    </row>
    <row r="15" spans="1:11" x14ac:dyDescent="0.25">
      <c r="A15">
        <v>1360</v>
      </c>
      <c r="B15">
        <f>SUM(A12:A15)</f>
        <v>4870</v>
      </c>
    </row>
    <row r="18" spans="2:2" x14ac:dyDescent="0.25">
      <c r="B18" t="str" cm="1">
        <f t="array" ref="B18">_xll.BDP("ANSS US Equity","BEST_SALES", "FPeriod=1TY","AsOf=20240116")</f>
        <v>#N/A Invalid Parameter: Invalid override field: AsOf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Coverage (Latest Price)</vt:lpstr>
      <vt:lpstr>Metrics</vt:lpstr>
      <vt:lpstr>Data</vt:lpstr>
      <vt:lpstr>Search Criteria</vt:lpstr>
      <vt:lpstr>Sheet1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AgentUser</cp:lastModifiedBy>
  <dcterms:created xsi:type="dcterms:W3CDTF">2025-07-08T16:50:54Z</dcterms:created>
  <dcterms:modified xsi:type="dcterms:W3CDTF">2025-11-19T13:58:29Z</dcterms:modified>
</cp:coreProperties>
</file>